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hidePivotFieldList="1"/>
  <mc:AlternateContent xmlns:mc="http://schemas.openxmlformats.org/markup-compatibility/2006">
    <mc:Choice Requires="x15">
      <x15ac:absPath xmlns:x15ac="http://schemas.microsoft.com/office/spreadsheetml/2010/11/ac" url="https://ueanorwich-my.sharepoint.com/personal/hjz23bmu_uea_ac_uk/Documents/Universitiy third year/Semester two/Digital Age/First assignment/Data scraping/"/>
    </mc:Choice>
  </mc:AlternateContent>
  <xr:revisionPtr revIDLastSave="1343" documentId="8_{A8C22C46-80A3-2B43-84CA-DADF24B778D5}" xr6:coauthVersionLast="47" xr6:coauthVersionMax="47" xr10:uidLastSave="{BEA4F70C-23E2-6644-99FB-CC12D34C8A52}"/>
  <bookViews>
    <workbookView minimized="1" xWindow="12040" yWindow="800" windowWidth="21520" windowHeight="20180" activeTab="3" xr2:uid="{EC706713-3D95-47D3-95B3-2EDD624A41E2}"/>
  </bookViews>
  <sheets>
    <sheet name="VBA raw" sheetId="8" r:id="rId1"/>
    <sheet name="Invoked function" sheetId="11" r:id="rId2"/>
    <sheet name="Automation raw" sheetId="12" r:id="rId3"/>
    <sheet name="Automation cleaned" sheetId="13" r:id="rId4"/>
    <sheet name="Market share ratings" sheetId="18" r:id="rId5"/>
    <sheet name="Scatter plot" sheetId="22" r:id="rId6"/>
    <sheet name="Ratings merger" sheetId="20" r:id="rId7"/>
    <sheet name="Market share products" sheetId="17" r:id="rId8"/>
    <sheet name="Products merger" sheetId="19" r:id="rId9"/>
    <sheet name="Ratios " sheetId="21" r:id="rId10"/>
  </sheets>
  <definedNames>
    <definedName name="_xlnm._FilterDatabase" localSheetId="0" hidden="1">'VBA raw'!$A$1:$B$303</definedName>
    <definedName name="ExternalData_1" localSheetId="3" hidden="1">'Automation cleaned'!$A$1:$K$184</definedName>
    <definedName name="ExternalData_1" localSheetId="2" hidden="1">'Automation raw'!$A$1:$H$303</definedName>
    <definedName name="ExternalData_1" localSheetId="1" hidden="1">'Invoked function'!$A$1:$H$2</definedName>
  </definedNames>
  <calcPr calcId="191028"/>
  <pivotCaches>
    <pivotCache cacheId="2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9" l="1"/>
  <c r="F3" i="19"/>
  <c r="F1" i="20"/>
  <c r="F3" i="20"/>
  <c r="G1" i="18"/>
  <c r="G4" i="18"/>
  <c r="G3" i="18"/>
  <c r="C99" i="20"/>
  <c r="B99"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3"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5" i="20"/>
  <c r="B4" i="20"/>
  <c r="B3" i="20"/>
  <c r="C99"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3" i="19"/>
  <c r="B4" i="19"/>
  <c r="B3" i="19"/>
  <c r="B99" i="19" s="1"/>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C98" i="18"/>
  <c r="C99"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3" i="18"/>
  <c r="C12" i="18"/>
  <c r="C11" i="18"/>
  <c r="C10" i="18"/>
  <c r="C9" i="18"/>
  <c r="C8" i="18"/>
  <c r="C7" i="18"/>
  <c r="C6" i="18"/>
  <c r="C5" i="18"/>
  <c r="C4" i="18"/>
  <c r="C3" i="18"/>
  <c r="C2" i="18"/>
  <c r="G4"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D49" i="17" s="1"/>
  <c r="C50" i="17"/>
  <c r="C51" i="17"/>
  <c r="C52" i="17"/>
  <c r="C53" i="17"/>
  <c r="C54" i="17"/>
  <c r="C55" i="17"/>
  <c r="C56" i="17"/>
  <c r="C57" i="17"/>
  <c r="C58" i="17"/>
  <c r="C59" i="17"/>
  <c r="C60" i="17"/>
  <c r="C61" i="17"/>
  <c r="C62" i="17"/>
  <c r="D62" i="17" s="1"/>
  <c r="C63" i="17"/>
  <c r="C64" i="17"/>
  <c r="C65" i="17"/>
  <c r="C66" i="17"/>
  <c r="C67" i="17"/>
  <c r="C68" i="17"/>
  <c r="C69" i="17"/>
  <c r="C70" i="17"/>
  <c r="C71" i="17"/>
  <c r="C72" i="17"/>
  <c r="C73" i="17"/>
  <c r="C74" i="17"/>
  <c r="D74" i="17" s="1"/>
  <c r="C75" i="17"/>
  <c r="C76" i="17"/>
  <c r="C77" i="17"/>
  <c r="C78" i="17"/>
  <c r="C79" i="17"/>
  <c r="C80" i="17"/>
  <c r="C81" i="17"/>
  <c r="C82" i="17"/>
  <c r="C83" i="17"/>
  <c r="C84" i="17"/>
  <c r="C85" i="17"/>
  <c r="C86" i="17"/>
  <c r="C87" i="17"/>
  <c r="C88" i="17"/>
  <c r="C89" i="17"/>
  <c r="C90" i="17"/>
  <c r="C91" i="17"/>
  <c r="C92" i="17"/>
  <c r="D92" i="17" s="1"/>
  <c r="C93" i="17"/>
  <c r="D93" i="17" s="1"/>
  <c r="C94" i="17"/>
  <c r="D94" i="17" s="1"/>
  <c r="C95" i="17"/>
  <c r="D95" i="17" s="1"/>
  <c r="C96" i="17"/>
  <c r="D96" i="17" s="1"/>
  <c r="C97" i="17"/>
  <c r="D97" i="17" s="1"/>
  <c r="C98" i="17"/>
  <c r="D98" i="17" s="1"/>
  <c r="C99" i="17"/>
  <c r="C2" i="17"/>
  <c r="G3" i="17"/>
  <c r="D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50" i="17"/>
  <c r="D51" i="17"/>
  <c r="D52" i="17"/>
  <c r="D53" i="17"/>
  <c r="D54" i="17"/>
  <c r="D55" i="17"/>
  <c r="D56" i="17"/>
  <c r="D57" i="17"/>
  <c r="D58" i="17"/>
  <c r="D59" i="17"/>
  <c r="D60" i="17"/>
  <c r="D61" i="17"/>
  <c r="D63" i="17"/>
  <c r="D64" i="17"/>
  <c r="D65" i="17"/>
  <c r="D66" i="17"/>
  <c r="D67" i="17"/>
  <c r="D68" i="17"/>
  <c r="D69" i="17"/>
  <c r="D70" i="17"/>
  <c r="D71" i="17"/>
  <c r="D72" i="17"/>
  <c r="D73" i="17"/>
  <c r="D75" i="17"/>
  <c r="D76" i="17"/>
  <c r="D77" i="17"/>
  <c r="D78" i="17"/>
  <c r="D79" i="17"/>
  <c r="D80" i="17"/>
  <c r="D81" i="17"/>
  <c r="D82" i="17"/>
  <c r="D83" i="17"/>
  <c r="D84" i="17"/>
  <c r="D85" i="17"/>
  <c r="D86" i="17"/>
  <c r="D87" i="17"/>
  <c r="D88" i="17"/>
  <c r="D89" i="17"/>
  <c r="D90" i="17"/>
  <c r="D91" i="17"/>
  <c r="J27" i="13"/>
  <c r="J54" i="13"/>
  <c r="J10" i="13"/>
  <c r="J124" i="13"/>
  <c r="J100" i="13"/>
  <c r="J5" i="13"/>
  <c r="J164" i="13"/>
  <c r="J139" i="13"/>
  <c r="J128" i="13"/>
  <c r="J174" i="13"/>
  <c r="J90" i="13"/>
  <c r="J75" i="13"/>
  <c r="J136" i="13"/>
  <c r="J135" i="13"/>
  <c r="J108" i="13"/>
  <c r="J78" i="13"/>
  <c r="J74" i="13"/>
  <c r="J151" i="13"/>
  <c r="J119" i="13"/>
  <c r="J99" i="13"/>
  <c r="J141" i="13"/>
  <c r="J46" i="13"/>
  <c r="J184" i="13"/>
  <c r="J163" i="13"/>
  <c r="J107" i="13"/>
  <c r="J14" i="13"/>
  <c r="J11" i="13"/>
  <c r="J63" i="13"/>
  <c r="J170" i="13"/>
  <c r="J31" i="13"/>
  <c r="J50" i="13"/>
  <c r="J147" i="13"/>
  <c r="J36" i="13"/>
  <c r="J23" i="13"/>
  <c r="J169" i="13"/>
  <c r="J16" i="13"/>
  <c r="J97" i="13"/>
  <c r="J62" i="13"/>
  <c r="J183" i="13"/>
  <c r="J162" i="13"/>
  <c r="J123" i="13"/>
  <c r="J122" i="13"/>
  <c r="J134" i="13"/>
  <c r="J28" i="13"/>
  <c r="J66" i="13"/>
  <c r="J80" i="13"/>
  <c r="J92" i="13"/>
  <c r="J17" i="13"/>
  <c r="J126" i="13"/>
  <c r="J21" i="13"/>
  <c r="J150" i="13"/>
  <c r="J168" i="13"/>
  <c r="J86" i="13"/>
  <c r="J77" i="13"/>
  <c r="J133" i="13"/>
  <c r="J89" i="13"/>
  <c r="J140" i="13"/>
  <c r="J18" i="13"/>
  <c r="J57" i="13"/>
  <c r="J104" i="13"/>
  <c r="J131" i="13"/>
  <c r="J103" i="13"/>
  <c r="J20" i="13"/>
  <c r="J158" i="13"/>
  <c r="J110" i="13"/>
  <c r="J149" i="13"/>
  <c r="J157" i="13"/>
  <c r="J2" i="13"/>
  <c r="J83" i="13"/>
  <c r="J98" i="13"/>
  <c r="J156" i="13"/>
  <c r="J146" i="13"/>
  <c r="J173" i="13"/>
  <c r="J33" i="13"/>
  <c r="J81" i="13"/>
  <c r="J30" i="13"/>
  <c r="J55" i="13"/>
  <c r="J60" i="13"/>
  <c r="J12" i="13"/>
  <c r="J9" i="13"/>
  <c r="J61" i="13"/>
  <c r="J51" i="13"/>
  <c r="J101" i="13"/>
  <c r="J49" i="13"/>
  <c r="J6" i="13"/>
  <c r="J58" i="13"/>
  <c r="J38" i="13"/>
  <c r="J47" i="13"/>
  <c r="J53" i="13"/>
  <c r="J117" i="13"/>
  <c r="J7" i="13"/>
  <c r="J121" i="13"/>
  <c r="J130" i="13"/>
  <c r="J44" i="13"/>
  <c r="J118" i="13"/>
  <c r="J116" i="13"/>
  <c r="J182" i="13"/>
  <c r="J73" i="13"/>
  <c r="J8" i="13"/>
  <c r="J138" i="13"/>
  <c r="J32" i="13"/>
  <c r="J15" i="13"/>
  <c r="J93" i="13"/>
  <c r="J52" i="13"/>
  <c r="J91" i="13"/>
  <c r="J113" i="13"/>
  <c r="J37" i="13"/>
  <c r="J105" i="13"/>
  <c r="J87" i="13"/>
  <c r="J181" i="13"/>
  <c r="J145" i="13"/>
  <c r="J4" i="13"/>
  <c r="J127" i="13"/>
  <c r="J111" i="13"/>
  <c r="J120" i="13"/>
  <c r="J85" i="13"/>
  <c r="J114" i="13"/>
  <c r="J3" i="13"/>
  <c r="J180" i="13"/>
  <c r="J153" i="13"/>
  <c r="J144" i="13"/>
  <c r="J68" i="13"/>
  <c r="J172" i="13"/>
  <c r="J71" i="13"/>
  <c r="J13" i="13"/>
  <c r="J112" i="13"/>
  <c r="J39" i="13"/>
  <c r="J25" i="13"/>
  <c r="J109" i="13"/>
  <c r="J179" i="13"/>
  <c r="J82" i="13"/>
  <c r="J34" i="13"/>
  <c r="J143" i="13"/>
  <c r="J132" i="13"/>
  <c r="J76" i="13"/>
  <c r="J48" i="13"/>
  <c r="J155" i="13"/>
  <c r="J72" i="13"/>
  <c r="J67" i="13"/>
  <c r="J167" i="13"/>
  <c r="J148" i="13"/>
  <c r="J166" i="13"/>
  <c r="J35" i="13"/>
  <c r="J178" i="13"/>
  <c r="J129" i="13"/>
  <c r="J125" i="13"/>
  <c r="J29" i="13"/>
  <c r="J115" i="13"/>
  <c r="J96" i="13"/>
  <c r="J88" i="13"/>
  <c r="J65" i="13"/>
  <c r="J160" i="13"/>
  <c r="J94" i="13"/>
  <c r="J154" i="13"/>
  <c r="J152" i="13"/>
  <c r="J177" i="13"/>
  <c r="J56" i="13"/>
  <c r="J45" i="13"/>
  <c r="J95" i="13"/>
  <c r="J142" i="13"/>
  <c r="J106" i="13"/>
  <c r="J79" i="13"/>
  <c r="J102" i="13"/>
  <c r="J159" i="13"/>
  <c r="J176" i="13"/>
  <c r="J165" i="13"/>
  <c r="J59" i="13"/>
  <c r="J64" i="13"/>
  <c r="J22" i="13"/>
  <c r="J41" i="13"/>
  <c r="J42" i="13"/>
  <c r="J43" i="13"/>
  <c r="J84" i="13"/>
  <c r="J137" i="13"/>
  <c r="J26" i="13"/>
  <c r="J69" i="13"/>
  <c r="J24" i="13"/>
  <c r="J70" i="13"/>
  <c r="J161" i="13"/>
  <c r="J171" i="13"/>
  <c r="J40" i="13"/>
  <c r="J175" i="13"/>
  <c r="J19" i="13"/>
  <c r="I27" i="13"/>
  <c r="I54" i="13"/>
  <c r="I10" i="13"/>
  <c r="I124" i="13"/>
  <c r="I100" i="13"/>
  <c r="I5" i="13"/>
  <c r="I164" i="13"/>
  <c r="I139" i="13"/>
  <c r="I128" i="13"/>
  <c r="I174" i="13"/>
  <c r="I90" i="13"/>
  <c r="I75" i="13"/>
  <c r="I136" i="13"/>
  <c r="I135" i="13"/>
  <c r="I108" i="13"/>
  <c r="I78" i="13"/>
  <c r="I74" i="13"/>
  <c r="I151" i="13"/>
  <c r="I119" i="13"/>
  <c r="I99" i="13"/>
  <c r="I141" i="13"/>
  <c r="I46" i="13"/>
  <c r="I184" i="13"/>
  <c r="I163" i="13"/>
  <c r="I107" i="13"/>
  <c r="I14" i="13"/>
  <c r="I11" i="13"/>
  <c r="I63" i="13"/>
  <c r="I170" i="13"/>
  <c r="I31" i="13"/>
  <c r="I50" i="13"/>
  <c r="I147" i="13"/>
  <c r="I36" i="13"/>
  <c r="I23" i="13"/>
  <c r="I169" i="13"/>
  <c r="I16" i="13"/>
  <c r="I97" i="13"/>
  <c r="I62" i="13"/>
  <c r="I183" i="13"/>
  <c r="I162" i="13"/>
  <c r="I123" i="13"/>
  <c r="I122" i="13"/>
  <c r="I134" i="13"/>
  <c r="I28" i="13"/>
  <c r="I66" i="13"/>
  <c r="I80" i="13"/>
  <c r="I92" i="13"/>
  <c r="I17" i="13"/>
  <c r="I126" i="13"/>
  <c r="I21" i="13"/>
  <c r="I150" i="13"/>
  <c r="I168" i="13"/>
  <c r="I86" i="13"/>
  <c r="I77" i="13"/>
  <c r="I133" i="13"/>
  <c r="I89" i="13"/>
  <c r="I140" i="13"/>
  <c r="I18" i="13"/>
  <c r="I57" i="13"/>
  <c r="I104" i="13"/>
  <c r="I131" i="13"/>
  <c r="I103" i="13"/>
  <c r="I20" i="13"/>
  <c r="I158" i="13"/>
  <c r="I110" i="13"/>
  <c r="I149" i="13"/>
  <c r="I157" i="13"/>
  <c r="I2" i="13"/>
  <c r="I83" i="13"/>
  <c r="I98" i="13"/>
  <c r="I156" i="13"/>
  <c r="I146" i="13"/>
  <c r="I173" i="13"/>
  <c r="I33" i="13"/>
  <c r="I81" i="13"/>
  <c r="I30" i="13"/>
  <c r="I55" i="13"/>
  <c r="I60" i="13"/>
  <c r="I12" i="13"/>
  <c r="I9" i="13"/>
  <c r="I61" i="13"/>
  <c r="I51" i="13"/>
  <c r="I101" i="13"/>
  <c r="I49" i="13"/>
  <c r="I6" i="13"/>
  <c r="I58" i="13"/>
  <c r="I38" i="13"/>
  <c r="I47" i="13"/>
  <c r="I53" i="13"/>
  <c r="I117" i="13"/>
  <c r="I7" i="13"/>
  <c r="I121" i="13"/>
  <c r="I130" i="13"/>
  <c r="I44" i="13"/>
  <c r="I118" i="13"/>
  <c r="I116" i="13"/>
  <c r="I182" i="13"/>
  <c r="I73" i="13"/>
  <c r="I8" i="13"/>
  <c r="I138" i="13"/>
  <c r="I32" i="13"/>
  <c r="I15" i="13"/>
  <c r="I93" i="13"/>
  <c r="I52" i="13"/>
  <c r="I91" i="13"/>
  <c r="I113" i="13"/>
  <c r="I37" i="13"/>
  <c r="I105" i="13"/>
  <c r="I87" i="13"/>
  <c r="I181" i="13"/>
  <c r="I145" i="13"/>
  <c r="I4" i="13"/>
  <c r="I127" i="13"/>
  <c r="I111" i="13"/>
  <c r="I120" i="13"/>
  <c r="I85" i="13"/>
  <c r="I114" i="13"/>
  <c r="I3" i="13"/>
  <c r="I180" i="13"/>
  <c r="I153" i="13"/>
  <c r="I144" i="13"/>
  <c r="I68" i="13"/>
  <c r="I172" i="13"/>
  <c r="I71" i="13"/>
  <c r="I13" i="13"/>
  <c r="I112" i="13"/>
  <c r="I39" i="13"/>
  <c r="I25" i="13"/>
  <c r="I109" i="13"/>
  <c r="I179" i="13"/>
  <c r="I82" i="13"/>
  <c r="I34" i="13"/>
  <c r="I143" i="13"/>
  <c r="I132" i="13"/>
  <c r="I76" i="13"/>
  <c r="I48" i="13"/>
  <c r="I155" i="13"/>
  <c r="I72" i="13"/>
  <c r="I67" i="13"/>
  <c r="I167" i="13"/>
  <c r="I148" i="13"/>
  <c r="I166" i="13"/>
  <c r="I35" i="13"/>
  <c r="I178" i="13"/>
  <c r="I129" i="13"/>
  <c r="I125" i="13"/>
  <c r="I29" i="13"/>
  <c r="I115" i="13"/>
  <c r="I96" i="13"/>
  <c r="I88" i="13"/>
  <c r="I65" i="13"/>
  <c r="I160" i="13"/>
  <c r="I94" i="13"/>
  <c r="I154" i="13"/>
  <c r="I152" i="13"/>
  <c r="I177" i="13"/>
  <c r="I56" i="13"/>
  <c r="I45" i="13"/>
  <c r="I95" i="13"/>
  <c r="I142" i="13"/>
  <c r="I106" i="13"/>
  <c r="I79" i="13"/>
  <c r="I102" i="13"/>
  <c r="I159" i="13"/>
  <c r="I176" i="13"/>
  <c r="I165" i="13"/>
  <c r="I59" i="13"/>
  <c r="I64" i="13"/>
  <c r="I22" i="13"/>
  <c r="I41" i="13"/>
  <c r="I42" i="13"/>
  <c r="I43" i="13"/>
  <c r="I84" i="13"/>
  <c r="I137" i="13"/>
  <c r="I26" i="13"/>
  <c r="I69" i="13"/>
  <c r="I24" i="13"/>
  <c r="I70" i="13"/>
  <c r="I161" i="13"/>
  <c r="I171" i="13"/>
  <c r="I40" i="13"/>
  <c r="I175" i="13"/>
  <c r="I19" i="13"/>
  <c r="H27" i="13"/>
  <c r="H54" i="13"/>
  <c r="H10" i="13"/>
  <c r="H124" i="13"/>
  <c r="H100" i="13"/>
  <c r="H5" i="13"/>
  <c r="H164" i="13"/>
  <c r="H139" i="13"/>
  <c r="H128" i="13"/>
  <c r="H174" i="13"/>
  <c r="H90" i="13"/>
  <c r="H75" i="13"/>
  <c r="H136" i="13"/>
  <c r="H135" i="13"/>
  <c r="H108" i="13"/>
  <c r="H78" i="13"/>
  <c r="H74" i="13"/>
  <c r="H151" i="13"/>
  <c r="H119" i="13"/>
  <c r="H99" i="13"/>
  <c r="H141" i="13"/>
  <c r="H46" i="13"/>
  <c r="H184" i="13"/>
  <c r="H163" i="13"/>
  <c r="H107" i="13"/>
  <c r="H14" i="13"/>
  <c r="H11" i="13"/>
  <c r="H63" i="13"/>
  <c r="H170" i="13"/>
  <c r="H31" i="13"/>
  <c r="H50" i="13"/>
  <c r="H147" i="13"/>
  <c r="H36" i="13"/>
  <c r="H23" i="13"/>
  <c r="H169" i="13"/>
  <c r="H16" i="13"/>
  <c r="H97" i="13"/>
  <c r="H62" i="13"/>
  <c r="H183" i="13"/>
  <c r="H162" i="13"/>
  <c r="H123" i="13"/>
  <c r="H122" i="13"/>
  <c r="H134" i="13"/>
  <c r="H28" i="13"/>
  <c r="H66" i="13"/>
  <c r="H80" i="13"/>
  <c r="H92" i="13"/>
  <c r="H17" i="13"/>
  <c r="H126" i="13"/>
  <c r="H21" i="13"/>
  <c r="H150" i="13"/>
  <c r="H168" i="13"/>
  <c r="H86" i="13"/>
  <c r="H77" i="13"/>
  <c r="H133" i="13"/>
  <c r="H89" i="13"/>
  <c r="H140" i="13"/>
  <c r="H18" i="13"/>
  <c r="H57" i="13"/>
  <c r="H104" i="13"/>
  <c r="H131" i="13"/>
  <c r="H103" i="13"/>
  <c r="H20" i="13"/>
  <c r="H158" i="13"/>
  <c r="H110" i="13"/>
  <c r="H149" i="13"/>
  <c r="H157" i="13"/>
  <c r="H2" i="13"/>
  <c r="H83" i="13"/>
  <c r="H98" i="13"/>
  <c r="H156" i="13"/>
  <c r="H146" i="13"/>
  <c r="H173" i="13"/>
  <c r="H33" i="13"/>
  <c r="H81" i="13"/>
  <c r="H30" i="13"/>
  <c r="H55" i="13"/>
  <c r="H60" i="13"/>
  <c r="H12" i="13"/>
  <c r="H9" i="13"/>
  <c r="H61" i="13"/>
  <c r="H51" i="13"/>
  <c r="H101" i="13"/>
  <c r="H49" i="13"/>
  <c r="H6" i="13"/>
  <c r="H58" i="13"/>
  <c r="H38" i="13"/>
  <c r="H47" i="13"/>
  <c r="H53" i="13"/>
  <c r="H117" i="13"/>
  <c r="H7" i="13"/>
  <c r="H121" i="13"/>
  <c r="H130" i="13"/>
  <c r="H44" i="13"/>
  <c r="H118" i="13"/>
  <c r="H116" i="13"/>
  <c r="H182" i="13"/>
  <c r="H73" i="13"/>
  <c r="H8" i="13"/>
  <c r="H138" i="13"/>
  <c r="H32" i="13"/>
  <c r="H15" i="13"/>
  <c r="H93" i="13"/>
  <c r="H52" i="13"/>
  <c r="H91" i="13"/>
  <c r="H113" i="13"/>
  <c r="H37" i="13"/>
  <c r="H105" i="13"/>
  <c r="H87" i="13"/>
  <c r="H181" i="13"/>
  <c r="H145" i="13"/>
  <c r="H4" i="13"/>
  <c r="H127" i="13"/>
  <c r="H111" i="13"/>
  <c r="H120" i="13"/>
  <c r="H85" i="13"/>
  <c r="H114" i="13"/>
  <c r="H3" i="13"/>
  <c r="H180" i="13"/>
  <c r="H153" i="13"/>
  <c r="H144" i="13"/>
  <c r="H68" i="13"/>
  <c r="H172" i="13"/>
  <c r="H71" i="13"/>
  <c r="H13" i="13"/>
  <c r="H112" i="13"/>
  <c r="H39" i="13"/>
  <c r="H25" i="13"/>
  <c r="H109" i="13"/>
  <c r="H179" i="13"/>
  <c r="H82" i="13"/>
  <c r="H34" i="13"/>
  <c r="H143" i="13"/>
  <c r="H132" i="13"/>
  <c r="H76" i="13"/>
  <c r="H48" i="13"/>
  <c r="H155" i="13"/>
  <c r="H72" i="13"/>
  <c r="H67" i="13"/>
  <c r="H167" i="13"/>
  <c r="H148" i="13"/>
  <c r="H166" i="13"/>
  <c r="H35" i="13"/>
  <c r="H178" i="13"/>
  <c r="H129" i="13"/>
  <c r="H125" i="13"/>
  <c r="H29" i="13"/>
  <c r="H115" i="13"/>
  <c r="H96" i="13"/>
  <c r="H88" i="13"/>
  <c r="H65" i="13"/>
  <c r="H160" i="13"/>
  <c r="H94" i="13"/>
  <c r="H154" i="13"/>
  <c r="H152" i="13"/>
  <c r="H177" i="13"/>
  <c r="H56" i="13"/>
  <c r="H45" i="13"/>
  <c r="H95" i="13"/>
  <c r="H142" i="13"/>
  <c r="H106" i="13"/>
  <c r="H79" i="13"/>
  <c r="H102" i="13"/>
  <c r="H159" i="13"/>
  <c r="H176" i="13"/>
  <c r="H165" i="13"/>
  <c r="H59" i="13"/>
  <c r="H64" i="13"/>
  <c r="H22" i="13"/>
  <c r="H41" i="13"/>
  <c r="H42" i="13"/>
  <c r="H43" i="13"/>
  <c r="H84" i="13"/>
  <c r="H137" i="13"/>
  <c r="H26" i="13"/>
  <c r="H69" i="13"/>
  <c r="H24" i="13"/>
  <c r="H70" i="13"/>
  <c r="H161" i="13"/>
  <c r="H171" i="13"/>
  <c r="H40" i="13"/>
  <c r="H175" i="13"/>
  <c r="H19" i="13"/>
  <c r="D99" i="17" l="1"/>
  <c r="G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BAC360-8A71-46AE-A47F-ED82340E6B82}" keepAlive="1" name="Query - Automation" description="Connection to the 'Automation' query in the workbook." type="5" refreshedVersion="8" background="1" saveData="1">
    <dbPr connection="Provider=Microsoft.Mashup.OleDb.1;Data Source=$Workbook$;Location=Automation;Extended Properties=&quot;&quot;" command="SELECT * FROM [Automation]"/>
  </connection>
  <connection id="2" xr16:uid="{F4F271C2-D56B-40EB-8023-D3AD5700E0AF}" keepAlive="1" name="Query - Automation (2)" description="Connection to the 'Automation (2)' query in the workbook." type="5" refreshedVersion="8" background="1" saveData="1">
    <dbPr connection="Provider=Microsoft.Mashup.OleDb.1;Data Source=$Workbook$;Location=&quot;Automation (2)&quot;;Extended Properties=&quot;&quot;" command="SELECT * FROM [Automation (2)]"/>
  </connection>
  <connection id="3" xr16:uid="{D4D6B8E0-9446-4CD4-8D48-FA404F862972}" keepAlive="1" name="Query - Invoked Function" description="Connection to the 'Invoked Function' query in the workbook." type="5" refreshedVersion="8" background="1" saveData="1">
    <dbPr connection="Provider=Microsoft.Mashup.OleDb.1;Data Source=$Workbook$;Location=&quot;Invoked Function&quot;;Extended Properties=&quot;&quot;" command="SELECT * FROM [Invoked Function]"/>
  </connection>
  <connection id="4" xr16:uid="{F6169744-2F41-48DE-A498-95FD4D3F5EC2}" keepAlive="1" name="Query - Table 17" description="Connection to the 'Table 17' query in the workbook." type="5" refreshedVersion="0" background="1">
    <dbPr connection="Provider=Microsoft.Mashup.OleDb.1;Data Source=$Workbook$;Location=&quot;Table 17&quot;;Extended Properties=&quot;&quot;" command="SELECT * FROM [Table 17]"/>
  </connection>
</connections>
</file>

<file path=xl/sharedStrings.xml><?xml version="1.0" encoding="utf-8"?>
<sst xmlns="http://schemas.openxmlformats.org/spreadsheetml/2006/main" count="2688" uniqueCount="1102">
  <si>
    <t>ASIN</t>
  </si>
  <si>
    <t>B0D5BC6Z1R</t>
  </si>
  <si>
    <t>_x000D_
_x000D_
_x000D_
_x000D_
_x000D_
_x000D_
_x000D_
_x000D_
_x000D_
_x000D_
_x000D_
_x000D_
_x000D_
_x000D_
_x000D_
_x000D_
_x000D_
_x000D_
_x000D_
_x000D_
_x000D_
_x000D_
_x000D_
_x000D_
_x000D_
_x000D_
_x000D_
_x000D_
_x000D_
_x000D_
Gaggia Espresso Style Manual Coffee Machine and Cappuccino Maker with Milk Frother, Lava Red_x000D_
 _x000D_
_x000D_
4.1_x000D_
4.1 out of 5 stars_x000D_
 (149)  _x000D_
_x000D_
_x000D_
Price, product page£169.00£169.00_x000D_
_x000D_
_x000D_
_x000D_
_x000D_
_x000D_
_x000D_
_x000D_
_x000D_
FREE delivery 11 - 12 Mar_x000D_
_x000D_
_x000D_
_x000D_
_x000D_
_x000D_
_x000D_
_x000D_
_x000D_
_x000D_
_x000D_
_x000D_
_x000D_
_x000D_
_x000D_
Add to basket</t>
  </si>
  <si>
    <t>B0BRKG7X22</t>
  </si>
  <si>
    <t>_x000D_
_x000D_
_x000D_
_x000D_
_x000D_
_x000D_
_x000D_
_x000D_
_x000D_
_x000D_
_x000D_
_x000D_
_x000D_
_x000D_
_x000D_
_x000D_
_x000D_
_x000D_
_x000D_
_x000D_
_x000D_
_x000D_
_x000D_
_x000D_
_x000D_
_x000D_
_x000D_
_x000D_
_x000D_
_x000D_
OutIn Nano Portable Electric Espresso Machine, Travel Coffee Maker for Camping, Car Coffee Maker Self-Heating with USB-C, With Ground Coffee &amp; NS Capsule for RV, Hiking, Office_x000D_
 _x000D_
_x000D_
4.3_x000D_
4.3 out of 5 stars_x000D_
 (4.9K)  _x000D_
40+ bought in past month_x000D_
_x000D_
_x000D_
_x000D_
Price, product page£139.99£139.99_x000D_
_x000D_
_x000D_
£10.00 off coupon applied_x000D_
Save £10.00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</si>
  <si>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B0CP5ZPWFM</t>
  </si>
  <si>
    <t>_x000D_
_x000D_
_x000D_
_x000D_
_x000D_
_x000D_
_x000D_
_x000D_
_x000D_
_x000D_
_x000D_
_x000D_
_x000D_
_x000D_
_x000D_
_x000D_
_x000D_
_x000D_
_x000D_
_x000D_
_x000D_
_x000D_
_x000D_
_x000D_
_x000D_
_x000D_
_x000D_
_x000D_
_x000D_
_x000D_
Smeg EGF03BLUK Espresso Coffee Machine with Grinder, 20 Bar Pump, 2.4L, 1650W, Black_x000D_
 _x000D_
_x000D_
3.2_x000D_
3.2 out of 5 stars_x000D_
 (13)  _x000D_
_x000D_
_x000D_
Price, product page£669.99£669.99 RRP: £849.95_x000D_
RRP: £849.95£849.95_x000D_
_x000D_
_x000D_
_x000D_
_x000D_
_x000D_
_x000D_
_x000D_
_x000D_
FREE delivery 12 - 14 Mar_x000D_
_x000D_
Only 1 left in stock._x000D_
_x000D_
_x000D_
_x000D_
_x000D_
_x000D_
_x000D_
_x000D_
_x000D_
_x000D_
_x000D_
_x000D_
_x000D_
_x000D_
_x000D_
Add to basket_x000D_
_x000D_
_x000D_
_x000D_
_x000D_
_x000D_
_x000D_
_x000D_
_x000D_
More buying choices_x000D_
£494.00(6+ used &amp; new offers)</t>
  </si>
  <si>
    <t>B084D37PHF</t>
  </si>
  <si>
    <t>_x000D_
_x000D_
_x000D_
_x000D_
_x000D_
_x000D_
_x000D_
_x000D_
_x000D_
_x000D_
_x000D_
_x000D_
_x000D_
_x000D_
_x000D_
_x000D_
_x000D_
_x000D_
_x000D_
_x000D_
_x000D_
_x000D_
_x000D_
_x000D_
_x000D_
_x000D_
_x000D_
_x000D_
_x000D_
+2_x000D_
_x000D_
_x000D_
Cooks Professional 15-Bar Retro Espresso Coffee Machine with Frothing Steam Wand, Built-In Temperature Gauge, 1.2L Water Tank &amp; Stainless Steel Drip Tray | Black_x000D_
 _x000D_
_x000D_
4.0_x000D_
4.0 out of 5 stars_x000D_
 (379)  _x000D_
_x000D_
_x000D_
Price, product page£89.99£89.99_x000D_
_x000D_
_x000D_
_x000D_
_x000D_
_x000D_
_x000D_
_x000D_
_x000D_
FREE delivery Wed 11 Mar_x000D_
_x000D_
_x000D_
_x000D_
_x000D_
_x000D_
_x000D_
_x000D_
_x000D_
_x000D_
_x000D_
_x000D_
_x000D_
_x000D_
_x000D_
Add to basket</t>
  </si>
  <si>
    <t>B0CLB3WTRY</t>
  </si>
  <si>
    <t>_x000D_
_x000D_
_x000D_
_x000D_
_x000D_
_x000D_
_x000D_
_x000D_
_x000D_
_x000D_
_x000D_
_x000D_
_x000D_
_x000D_
_x000D_
_x000D_
_x000D_
_x000D_
_x000D_
_x000D_
_x000D_
_x000D_
_x000D_
_x000D_
_x000D_
_x000D_
_x000D_
Smeg ECF02BLUK Espresso Coffee Machine with Steam Wand, 1950s Retro Design,stainless steel filter holder, an anti-drip system, Black_x000D_
 _x000D_
_x000D_
3.5_x000D_
3.5 out of 5 stars_x000D_
 (16)  _x000D_
_x000D_
_x000D_
Price, product page£397.95£397.95_x000D_
_x000D_
_x000D_
_x000D_
_x000D_
_x000D_
_x000D_
_x000D_
_x000D_
FREE delivery Tue 10 Mar_x000D_
_x000D_
_x000D_
Or fastest delivery Mon 9 Mar_x000D_
_x000D_
Only 3 left in stock._x000D_
_x000D_
_x000D_
_x000D_
_x000D_
_x000D_
_x000D_
_x000D_
_x000D_
_x000D_
_x000D_
_x000D_
_x000D_
_x000D_
_x000D_
Add to basket_x000D_
_x000D_
_x000D_
_x000D_
_x000D_
_x000D_
_x000D_
_x000D_
_x000D_
More buying choices_x000D_
£259.99(7+ used &amp; new offers)</t>
  </si>
  <si>
    <t>B07RZWCY12</t>
  </si>
  <si>
    <t>_x000D_
_x000D_
_x000D_
_x000D_
_x000D_
_x000D_
_x000D_
_x000D_
_x000D_
_x000D_
_x000D_
_x000D_
_x000D_
_x000D_
_x000D_
_x000D_
_x000D_
_x000D_
_x000D_
_x000D_
_x000D_
_x000D_
_x000D_
_x000D_
_x000D_
_x000D_
_x000D_
WACACO Nanopresso Portable Espresso Maker Bundled with Protective Case, Upgrade Version of Minipresso, Mini Travel Coffee Machine, Perfect for Camping, Travel and Office (New Elements Moss Green)_x000D_
 _x000D_
_x000D_
4.4_x000D_
4.4 out of 5 stars_x000D_
 (2.6K)  _x000D_
_x000D_
_x000D_
Price, product page£79.90£79.90_x000D_
_x000D_
_x000D_
_x000D_
_x000D_
_x000D_
_x000D_
_x000D_
_x000D_
FREE delivery Tue 10 Mar_x000D_
_x000D_
_x000D_
Or fastest delivery Tomorrow, 8 Mar_x000D_
_x000D_
Only 7 left in stock._x000D_
_x000D_
_x000D_
_x000D_
_x000D_
_x000D_
_x000D_
_x000D_
_x000D_
_x000D_
_x000D_
_x000D_
_x000D_
_x000D_
_x000D_
Add to basket</t>
  </si>
  <si>
    <t>B0D3H4NRMS</t>
  </si>
  <si>
    <t>B09RQZW5F2</t>
  </si>
  <si>
    <t>B085J8LBXF</t>
  </si>
  <si>
    <t>_x000D_
_x000D_
_x000D_
_x000D_
_x000D_
_x000D_
_x000D_
_x000D_
_x000D_
_x000D_
_x000D_
_x000D_
_x000D_
_x000D_
_x000D_
_x000D_
_x000D_
_x000D_
_x000D_
_x000D_
_x000D_
_x000D_
_x000D_
_x000D_
De'Longhi Stilosa EC260.BK, Traditional barista Pump Espresso Coffee Machine, Black_x000D_
 _x000D_
_x000D_
4.3_x000D_
4.3 out of 5 stars_x000D_
 (3.4K)  _x000D_
100+ bought in past month_x000D_
_x000D_
_x000D_
_x000D_
Price, product page£89.00£89.00 RRP: £126.99_x000D_
RRP: £126.99£126.99_x000D_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£80.97(13+ used &amp; new offers)</t>
  </si>
  <si>
    <t>B0DFWZJFQY</t>
  </si>
  <si>
    <t>_x000D_
_x000D_
_x000D_
_x000D_
_x000D_
_x000D_
_x000D_
_x000D_
_x000D_
_x000D_
_x000D_
_x000D_
_x000D_
_x000D_
_x000D_
_x000D_
_x000D_
_x000D_
_x000D_
_x000D_
_x000D_
_x000D_
_x000D_
_x000D_
Kaiser Empire KA 2005 Retro Vintage Style Espresso Coffee Machine, Stainless Steel Portafilters Included, Removeable Drip Tray, 1.1L Water Tank (Silver)_x000D_
 _x000D_
_x000D_
5.0_x000D_
5.0 out of 5 stars_x000D_
 (2)  _x000D_
_x000D_
_x000D_
Price, product page£269.10£269.10 RRP: £299.00_x000D_
RRP: £299.00£299.00_x000D_
_x000D_
_x000D_
_x000D_
_x000D_
_x000D_
_x000D_
_x000D_
_x000D_
FREE delivery 12 - 14 Mar_x000D_
_x000D_
Only 12 left in stock._x000D_
_x000D_
_x000D_
_x000D_
_x000D_
_x000D_
_x000D_
_x000D_
_x000D_
_x000D_
_x000D_
_x000D_
_x000D_
_x000D_
_x000D_
Add to basket</t>
  </si>
  <si>
    <t>B0BB7KK5Y6</t>
  </si>
  <si>
    <t>_x000D_
_x000D_
_x000D_
_x000D_
_x000D_
_x000D_
_x000D_
_x000D_
_x000D_
_x000D_
_x000D_
_x000D_
_x000D_
_x000D_
_x000D_
_x000D_
_x000D_
_x000D_
_x000D_
_x000D_
_x000D_
_x000D_
_x000D_
_x000D_
Nespresso ENV90.B Vertuo Pop Automatic Pod coffee machine for Americano, Decaf, Espresso, Liquorice Black_x000D_
 _x000D_
_x000D_
4.0_x000D_
4.0 out of 5 stars_x000D_
 (725)  _x000D_
300+ bought in past month_x000D_
_x000D_
_x000D_
_x000D_
Price, product page£64.00£64.00_x000D_
_x000D_
_x000D_
Free milk Frother with 100 pods_x000D_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£48.71(11+ used &amp; new offers)</t>
  </si>
  <si>
    <t>B0DHZS8DLB</t>
  </si>
  <si>
    <t>_x000D_
_x000D_
_x000D_
_x000D_
_x000D_
_x000D_
_x000D_
_x000D_
_x000D_
_x000D_
_x000D_
_x000D_
_x000D_
_x000D_
_x000D_
_x000D_
_x000D_
_x000D_
_x000D_
_x000D_
_x000D_
_x000D_
_x000D_
_x000D_
Portable Espresso Machine Travel: 12v Electric Mini Coffee Maker with Battery - 8 Cups Expresso for One Charge - Compatible for NS Capsule - for Car Hiking Camping_x000D_
 _x000D_
_x000D_
4.1_x000D_
4.1 out of 5 stars_x000D_
 (350)  _x000D_
_x000D_
_x000D_
Price, product page£109.99£109.99_x000D_
_x000D_
_x000D_
Buy 2, Save 20% on every 2_x000D_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</si>
  <si>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B09XK7JHSK</t>
  </si>
  <si>
    <t>_x000D_
_x000D_
_x000D_
_x000D_
_x000D_
_x000D_
_x000D_
_x000D_
_x000D_
_x000D_
_x000D_
_x000D_
_x000D_
_x000D_
_x000D_
_x000D_
_x000D_
_x000D_
_x000D_
_x000D_
_x000D_
Easyworkz Diego Stovetop Espresso Maker Stainless Steel Italian Coffee Machine Maker 12cup 520ml Induction Moka Pot_x000D_
 _x000D_
_x000D_
_x000D_
Options:_x000D_
3 sizes3 sizes_x000D_
_x000D_
4.2_x000D_
4.2 out of 5 stars_x000D_
 (4.7K)  _x000D_
_x000D_
_x000D_
Price, product page£64.98£64.98_x000D_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</si>
  <si>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B01M35TSMC</t>
  </si>
  <si>
    <t>_x000D_
_x000D_
_x000D_
_x000D_
_x000D_
_x000D_
_x000D_
_x000D_
_x000D_
_x000D_
_x000D_
_x000D_
_x000D_
_x000D_
_x000D_
_x000D_
_x000D_
_x000D_
_x000D_
_x000D_
_x000D_
ECF01PBEU - pastel blue_x000D_
 _x000D_
_x000D_
4.3_x000D_
4.3 out of 5 stars_x000D_
 (260)  _x000D_
_x000D_
_x000D_
Price, product page£465.46£465.46_x000D_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</si>
  <si>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B09H2XVPDZ</t>
  </si>
  <si>
    <t>_x000D_
_x000D_
_x000D_
_x000D_
_x000D_
_x000D_
_x000D_
_x000D_
_x000D_
_x000D_
_x000D_
_x000D_
_x000D_
_x000D_
_x000D_
_x000D_
_x000D_
_x000D_
_x000D_
_x000D_
_x000D_
KLARSTEIN Espresso Coffee Machine, 1.8L 20-Bar 1350W Maker with Milk Frother &amp; Touch Display, Stainless Steel Coffee Maker for Ground &amp; Iced Coffee_x000D_
 _x000D_
_x000D_
3.9_x000D_
3.9 out of 5 stars_x000D_
 (1.3K)  _x000D_
_x000D_
_x000D_
Price, product page£143.99£143.99_x000D_
_x000D_
_x000D_
_x000D_
_x000D_
_x000D_
_x000D_
_x000D_
_x000D_
FREE delivery 13 - 16 Mar_x000D_
_x000D_
_x000D_
_x000D_
_x000D_
_x000D_
_x000D_
_x000D_
_x000D_
_x000D_
_x000D_
_x000D_
_x000D_
_x000D_
_x000D_
Add to basket</t>
  </si>
  <si>
    <t>B086WXNDTN</t>
  </si>
  <si>
    <t>_x000D_
_x000D_
_x000D_
_x000D_
_x000D_
_x000D_
_x000D_
_x000D_
_x000D_
_x000D_
_x000D_
_x000D_
_x000D_
_x000D_
_x000D_
_x000D_
_x000D_
_x000D_
_x000D_
_x000D_
_x000D_
Lavazza, A Modo Mio Deséa Coffee Capsule Machine, Compatible with A Modo Mio Coffee Pods, Touch Interface, Sound Alerts, Automatic Shut-Off, Dishwasher-Safe Components, 1500W, 220-240V, White Cream_x000D_
 _x000D_
_x000D_
4.5_x000D_
4.5 out of 5 stars_x000D_
 (263)  _x000D_
_x000D_
_x000D_
Price, product page£174.40£174.40 RRP: £249.00_x000D_
RRP: £249.00£249.00_x000D_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</si>
  <si>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B0DVCHW22Y</t>
  </si>
  <si>
    <t>_x000D_
_x000D_
_x000D_
_x000D_
_x000D_
_x000D_
_x000D_
_x000D_
_x000D_
_x000D_
_x000D_
_x000D_
_x000D_
_x000D_
_x000D_
_x000D_
_x000D_
_x000D_
_x000D_
_x000D_
_x000D_
Morphy Richards Signature Compact Espresso Maker, Ground Coffee, Dual Cup, Illuminated Buttons, 1L Water tank, Steam Control, Stainless Steel, Black, 172024_x000D_
 _x000D_
_x000D_
4.3_x000D_
4.3 out of 5 stars_x000D_
 (38)  _x000D_
_x000D_
_x000D_
Price, product page£209.00£209.00_x000D_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£68.71(2+ used &amp; new offers)</t>
  </si>
  <si>
    <t>B01KWWYF6A</t>
  </si>
  <si>
    <t>_x000D_
_x000D_
_x000D_
_x000D_
_x000D_
_x000D_
_x000D_
_x000D_
_x000D_
_x000D_
_x000D_
_x000D_
_x000D_
_x000D_
_x000D_
_x000D_
_x000D_
_x000D_
_x000D_
_x000D_
_x000D_
Nespresso Citiz Coffee Machine by De'Longhi for Original Coffee Pods, Italian Inspired Espresso, Quality Coffee, Starter Capsule Set Included, EN167.B, Black_x000D_
 _x000D_
_x000D_
4.5_x000D_
4.5 out of 5 stars_x000D_
 (1.5K)  _x000D_
600+ bought in past month_x000D_
_x000D_
_x000D_
_x000D_
Price, product page£139.00£139.00_x000D_
_x000D_
_x000D_
_x000D_
_x000D_
_x000D_
_x000D_
_x000D_
_x000D_
FREE delivery 13 - 14 Mar_x000D_
_x000D_
Only 3 left in stock._x000D_
_x000D_
_x000D_
_x000D_
_x000D_
_x000D_
_x000D_
_x000D_
_x000D_
_x000D_
_x000D_
_x000D_
_x000D_
_x000D_
_x000D_
Add to basket_x000D_
_x000D_
_x000D_
_x000D_
_x000D_
_x000D_
_x000D_
_x000D_
_x000D_
More buying choices_x000D_
£124.89(7+ used &amp; new offers)</t>
  </si>
  <si>
    <t>B0DPZZ9S4Z</t>
  </si>
  <si>
    <t>_x000D_
_x000D_
_x000D_
_x000D_
_x000D_
_x000D_
_x000D_
_x000D_
_x000D_
_x000D_
_x000D_
_x000D_
_x000D_
_x000D_
_x000D_
_x000D_
_x000D_
_x000D_
BENFUCHEN 4 in1 Single Serve Coffee Maker, 19 Bar Espresso Maker Coffee Machine For KCup/Nespresso OriginalLine Capsules/Dolce Gusto/Ground Coffee, Cloud Gray_x000D_
 _x000D_
_x000D_
3.1_x000D_
3.1 out of 5 stars_x000D_
 (50)  _x000D_
_x000D_
_x000D_
Price, product page£91.99£91.99_x000D_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t>
  </si>
  <si>
    <t>B0CYSJXZWK</t>
  </si>
  <si>
    <t>_x000D_
_x000D_
_x000D_
_x000D_
_x000D_
_x000D_
_x000D_
_x000D_
_x000D_
_x000D_
_x000D_
_x000D_
_x000D_
_x000D_
_x000D_
_x000D_
_x000D_
_x000D_
CONQUECO Portable Espresso Coffee Machine: 12V Electric Small Travel Expresso Maker - Self Heating 8 Cups Battery Powered Compatible for Nespresso Capsule - for Camping RV Hiking Office (Smoke Blue)_x000D_
 _x000D_
_x000D_
4.2_x000D_
4.2 out of 5 stars_x000D_
 (1.7K)  _x000D_
_x000D_
_x000D_
Price, product page£99.89£99.89_x000D_
_x000D_
_x000D_
Buy £99.99, Save 10%_x000D_
_x000D_
_x000D_
_x000D_
_x000D_
_x000D_
_x000D_
_x000D_
FREE delivery Tue 10 Mar_x000D_
_x000D_
_x000D_
Or fastest delivery Mon 9 Mar_x000D_
_x000D_
Only 2 left in stock._x000D_
_x000D_
_x000D_
_x000D_
_x000D_
_x000D_
_x000D_
_x000D_
_x000D_
_x000D_
_x000D_
_x000D_
_x000D_
_x000D_
_x000D_
Add to basket</t>
  </si>
  <si>
    <t>B0CGHXDM1M</t>
  </si>
  <si>
    <t>_x000D_
_x000D_
_x000D_
_x000D_
_x000D_
_x000D_
_x000D_
_x000D_
_x000D_
_x000D_
_x000D_
_x000D_
_x000D_
_x000D_
_x000D_
_x000D_
_x000D_
_x000D_
Dualit Coffee Pod Machine - One Touch Operation and Other Capsule Compatible - Barista style espresso at home - Automatic dose control - Programmable dosing memory - Automatic Shut-Off_x000D_
 _x000D_
_x000D_
_x000D_
Options:_x000D_
2 sizes2 sizes_x000D_
_x000D_
3.6_x000D_
3.6 out of 5 stars_x000D_
 (306)  _x000D_
_x000D_
_x000D_
Price, product page£129.00£129.00_x000D_
_x000D_
_x000D_
_x000D_
_x000D_
_x000D_
_x000D_
_x000D_
_x000D_
FREE delivery Tue 10 Mar_x000D_
_x000D_
_x000D_
Or fastest delivery Tomorrow, 8 Mar_x000D_
_x000D_
Only 7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t>
  </si>
  <si>
    <t>B08LQVZ89F</t>
  </si>
  <si>
    <t>_x000D_
_x000D_
_x000D_
_x000D_
_x000D_
_x000D_
_x000D_
_x000D_
_x000D_
_x000D_
_x000D_
_x000D_
_x000D_
_x000D_
_x000D_
_x000D_
_x000D_
_x000D_
EspressoWorks 7 Pc All-in-One Espresso &amp; Cappuccino Maker Machine Barista Bundle Set w/Built-in Steam Wand (Inc: Coffee Bean Grinder, Portafilter, Frothing Cup, Spoon w/Tamper &amp; 2 Cups) (White)_x000D_
 _x000D_
_x000D_
4.1_x000D_
4.1 out of 5 stars_x000D_
 (1K)  _x000D_
_x000D_
_x000D_
Price, product page£149.00£149.00_x000D_
_x000D_
_x000D_
_x000D_
_x000D_
_x000D_
_x000D_
_x000D_
_x000D_
FREE delivery 10 - 11 Mar_x000D_
_x000D_
Only 10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t>
  </si>
  <si>
    <t>B0CF63WZNJ</t>
  </si>
  <si>
    <t>_x000D_
_x000D_
_x000D_
_x000D_
_x000D_
_x000D_
_x000D_
_x000D_
_x000D_
_x000D_
_x000D_
_x000D_
_x000D_
_x000D_
_x000D_
_x000D_
_x000D_
_x000D_
Fellow Opus Conical Burr Coffee Grinder - All Purpose Coffee Grinder Electric - Espresso Grinder with 41 Settings for Espresso, Drip, French Press, &amp; Cold Brew - Matte Black_x000D_
 _x000D_
_x000D_
3.8_x000D_
3.8 out of 5 stars_x000D_
 (74)  _x000D_
_x000D_
_x000D_
Price, product page£195.00£195.00_x000D_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</si>
  <si>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B0D6VNM3TT</t>
  </si>
  <si>
    <t>_x000D_
_x000D_
_x000D_
_x000D_
_x000D_
_x000D_
_x000D_
_x000D_
_x000D_
_x000D_
_x000D_
_x000D_
_x000D_
_x000D_
_x000D_
_x000D_
_x000D_
_x000D_
GEEPAS 750ml Filter Coffee Machine | Fast Brewing 600W Coffee Maker for Instant Coffee, Espresso, Macchiato &amp; More | Keep Warm &amp; Anti-Drip Function Reusable Nylon Filter, Black_x000D_
 _x000D_
_x000D_
4.2_x000D_
4.2 out of 5 stars_x000D_
 (214)  _x000D_
300+ bought in past month_x000D_
_x000D_
_x000D_
_x000D_
Price, product page£19.99£19.99 RRP: £29.99_x000D_
RRP: £29.99£29.99_x000D_
_x000D_
_x000D_
_x000D_
_x000D_
_x000D_
_x000D_
_x000D_
_x000D_
FREE delivery Mon 9 Mar_x000D_
_x000D_
_x000D_
_x000D_
_x000D_
_x000D_
_x000D_
_x000D_
_x000D_
_x000D_
_x000D_
_x000D_
_x000D_
_x000D_
_x000D_
Add to basket</t>
  </si>
  <si>
    <t>B0DMXR7B9R</t>
  </si>
  <si>
    <t>_x000D_
_x000D_
_x000D_
_x000D_
_x000D_
_x000D_
_x000D_
_x000D_
_x000D_
_x000D_
_x000D_
_x000D_
_x000D_
_x000D_
_x000D_
_x000D_
_x000D_
_x000D_
HOMCOM Espresso Machine with Integrated Bean Grinder &amp; Steam Wand, Bean to Cup Coffee Machine with 15 Bar Italian Pump, 2L Water Tank, Cappuccino Maker, Stainless Steel Silver_x000D_
 _x000D_
_x000D_
4.2_x000D_
4.2 out of 5 stars_x000D_
 (48)  _x000D_
_x000D_
_x000D_
Price, product page£199.99£199.99_x000D_
_x000D_
_x000D_
_x000D_
_x000D_
_x000D_
_x000D_
_x000D_
_x000D_
FREE delivery Tue 10 Mar_x000D_
_x000D_
_x000D_
_x000D_
_x000D_
_x000D_
_x000D_
_x000D_
_x000D_
_x000D_
_x000D_
_x000D_
_x000D_
_x000D_
_x000D_
Add to basket</t>
  </si>
  <si>
    <t>B0CKRX64V4</t>
  </si>
  <si>
    <t>_x000D_
_x000D_
_x000D_
_x000D_
_x000D_
_x000D_
_x000D_
_x000D_
_x000D_
_x000D_
_x000D_
_x000D_
_x000D_
_x000D_
_x000D_
_x000D_
_x000D_
_x000D_
Klarstein Espresso Portafilter Machine with Milk Frother, 1.2 L Retro Mini Espresso Machine with Portafilter, 950 Watt Coffee Machine Small, Stainless Steel Coffee Machine for Cappuccino, &amp; Latte_x000D_
 _x000D_
_x000D_
3.8_x000D_
3.8 out of 5 stars_x000D_
 (767)  _x000D_
_x000D_
_x000D_
Price, product page£85.99£85.99_x000D_
_x000D_
_x000D_
_x000D_
_x000D_
_x000D_
_x000D_
_x000D_
_x000D_
FREE delivery 16 - 18 Mar_x000D_
_x000D_
_x000D_
_x000D_
_x000D_
_x000D_
_x000D_
_x000D_
_x000D_
_x000D_
_x000D_
_x000D_
_x000D_
_x000D_
_x000D_
Add to basket</t>
  </si>
  <si>
    <t>B099NCKPJG</t>
  </si>
  <si>
    <t>_x000D_
_x000D_
_x000D_
_x000D_
_x000D_
_x000D_
_x000D_
_x000D_
_x000D_
_x000D_
_x000D_
_x000D_
_x000D_
_x000D_
_x000D_
_x000D_
_x000D_
_x000D_
KLARSTEIN Gusto Classico Espresso Maker - Espresso Machine, Portafilter Machine, Power: 1350 Watts, 20 Bar Pressure, Water Tank Volume: 1.5 Litres, Removable Stainless Steel Drip Grid, Colour: Red_x000D_
 _x000D_
_x000D_
3.7_x000D_
3.7 out of 5 stars_x000D_
 (700)  _x000D_
_x000D_
_x000D_
_x000D_
_x000D_
_x000D_
_x000D_
_x000D_
_x000D_
_x000D_
_x000D_
See options_x000D_
_x000D_
_x000D_
No featured offers available_x000D_
£102.99	(1 new offer)</t>
  </si>
  <si>
    <t>B0DTKTBLVS</t>
  </si>
  <si>
    <t>_x000D_
_x000D_
_x000D_
_x000D_
_x000D_
_x000D_
_x000D_
_x000D_
_x000D_
_x000D_
_x000D_
_x000D_
_x000D_
_x000D_
_x000D_
_x000D_
_x000D_
_x000D_
Klarstein SteelPresso Touch Espresso Machine – 20 Bar, 1350W, Stainless Steel, Milk Frother, Touch Display, 1.5L Water Tank, Cappuccino &amp; Latte Maker, Compact Design_x000D_
 _x000D_
_x000D_
3.6_x000D_
3.6 out of 5 stars_x000D_
 (44)  _x000D_
_x000D_
_x000D_
Price, product page£172.99£172.99_x000D_
_x000D_
_x000D_
_x000D_
_x000D_
_x000D_
_x000D_
_x000D_
_x000D_
FREE delivery 13 - 16 Mar_x000D_
_x000D_
_x000D_
_x000D_
_x000D_
_x000D_
_x000D_
_x000D_
_x000D_
_x000D_
_x000D_
_x000D_
_x000D_
_x000D_
_x000D_
Add to basket</t>
  </si>
  <si>
    <t>B07TVNNZCY</t>
  </si>
  <si>
    <t>_x000D_
_x000D_
_x000D_
_x000D_
_x000D_
_x000D_
_x000D_
_x000D_
_x000D_
_x000D_
_x000D_
_x000D_
_x000D_
_x000D_
_x000D_
_x000D_
_x000D_
_x000D_
Melitta Automatic Espresso Machine, Purista Model, F230-102, Black, 6766034_x000D_
 _x000D_
_x000D_
4.0_x000D_
4.0 out of 5 stars_x000D_
 (1.6K)  _x000D_
40+ bought in past month_x000D_
_x000D_
_x000D_
_x000D_
Price, product page£299.00£299.00 RRP: £424.99_x000D_
RRP: £424.99£424.99_x000D_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</si>
  <si>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B01IHRLQQO</t>
  </si>
  <si>
    <t>_x000D_
_x000D_
_x000D_
_x000D_
_x000D_
_x000D_
_x000D_
_x000D_
_x000D_
_x000D_
_x000D_
_x000D_
_x000D_
_x000D_
_x000D_
_x000D_
_x000D_
_x000D_
Nespresso Citiz Coffee Machine with Aeroccino Milk Frother by De'Longhi for Original Coffee Pods, Latte, Cappuccino, Espresso, Starter Capsule Set Included, EN267.WAE, White_x000D_
 _x000D_
_x000D_
4.6_x000D_
4.6 out of 5 stars_x000D_
 (2.2K)  _x000D_
50+ bought in past month_x000D_
_x000D_
_x000D_
_x000D_
Price, product page£199.00£199.00_x000D_
_x000D_
_x000D_
_x000D_
_x000D_
_x000D_
_x000D_
_x000D_
_x000D_
FREE delivery Wed 11 Mar_x000D_
_x000D_
_x000D_
Or fastest delivery Tue 10 Mar_x000D_
_x000D_
Only 1 left in stock._x000D_
_x000D_
_x000D_
_x000D_
_x000D_
_x000D_
_x000D_
_x000D_
_x000D_
_x000D_
_x000D_
_x000D_
_x000D_
_x000D_
_x000D_
Add to basket_x000D_
_x000D_
_x000D_
_x000D_
_x000D_
_x000D_
_x000D_
_x000D_
Energy Efficiency Class: A</t>
  </si>
  <si>
    <t>B01NGTI2JU</t>
  </si>
  <si>
    <t>_x000D_
_x000D_
_x000D_
_x000D_
_x000D_
_x000D_
_x000D_
_x000D_
_x000D_
_x000D_
_x000D_
_x000D_
_x000D_
_x000D_
_x000D_
_x000D_
_x000D_
_x000D_
Nespresso Creatista Plus Automatic Pod coffee machine with milk frother wand for Espresso, Cappuccino &amp; Flat White by Sage in Brushed Stainless Steel_x000D_
 _x000D_
_x000D_
4.5_x000D_
4.5 out of 5 stars_x000D_
 (2.7K)  _x000D_
100+ bought in past month_x000D_
_x000D_
_x000D_
_x000D_
Price, product page£389.00£389.00 RRP: £479.95_x000D_
RRP: £479.95£479.95_x000D_
_x000D_
_x000D_
Free milk Frother with 100 pods_x000D_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£324.99(6+ used &amp; new offers)</t>
  </si>
  <si>
    <t>B07GB2JVD7</t>
  </si>
  <si>
    <t>_x000D_
_x000D_
_x000D_
_x000D_
_x000D_
_x000D_
_x000D_
_x000D_
_x000D_
_x000D_
_x000D_
_x000D_
_x000D_
_x000D_
_x000D_
_x000D_
_x000D_
_x000D_
Sage - The Bambino Plus - Compact Coffee Machine with Automatic Milk Frother - 1.9L, 15 bar, 1600 W - Single or Double Shot Espresso Maker, Cappuccino, Latte, Brushed Stainless Steel_x000D_
 _x000D_
_x000D_
4.2_x000D_
4.2 out of 5 stars_x000D_
 (529)  _x000D_
30+ bought in past month_x000D_
_x000D_
_x000D_
_x000D_
Price, product page£395.94£395.94_x000D_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£348.44(4+ used &amp; new offers)</t>
  </si>
  <si>
    <t>B07NPDSPKV</t>
  </si>
  <si>
    <t>_x000D_
_x000D_
_x000D_
_x000D_
_x000D_
_x000D_
_x000D_
_x000D_
_x000D_
_x000D_
_x000D_
_x000D_
_x000D_
_x000D_
_x000D_
_x000D_
_x000D_
_x000D_
Sage - The Barista Pro, Bean to Cup Coffee Machine with Grinder and Milk Frother, Brushed Stainless Steel_x000D_
 _x000D_
_x000D_
4.4_x000D_
4.4 out of 5 stars_x000D_
 (580)  _x000D_
40+ bought in past month_x000D_
_x000D_
_x000D_
_x000D_
_x000D_
_x000D_
_x000D_
_x000D_
_x000D_
_x000D_
_x000D_
_x000D_
See options_x000D_
_x000D_
_x000D_
No featured offers available_x000D_
£589.99(4 used &amp; new offers)</t>
  </si>
  <si>
    <t>B0DZ2YSZ7M</t>
  </si>
  <si>
    <t>_x000D_
_x000D_
_x000D_
_x000D_
_x000D_
_x000D_
_x000D_
_x000D_
_x000D_
_x000D_
_x000D_
_x000D_
_x000D_
_x000D_
_x000D_
_x000D_
_x000D_
_x000D_
Sage - The Barista Touch Impress - Bean to Cup Coffee Machine, Grinder and Milk Frother, Cappuccino, Latte, Espresso Maker, 8 Presets, Milk Jug, 1700 W and Cold Brew Function, Brushed Stainless Steel_x000D_
 _x000D_
_x000D_
4.2_x000D_
4.2 out of 5 stars_x000D_
 (21)  _x000D_
_x000D_
_x000D_
Price, product page£1,199.00£1,199.00_x000D_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£859.99(2 used &amp; new offers)</t>
  </si>
  <si>
    <t>B0C3D2Y41J</t>
  </si>
  <si>
    <t>_x000D_
_x000D_
_x000D_
_x000D_
_x000D_
_x000D_
_x000D_
_x000D_
_x000D_
_x000D_
_x000D_
_x000D_
_x000D_
_x000D_
_x000D_
_x000D_
_x000D_
_x000D_
SIEMENS EQ300 Fully Automatic Bean to Cup Espresso Coffee Machine with milk frother arm, oneTouch Function, 4 coffee beverages, 3 coffee strengths, TF301G19, Piano Black_x000D_
 _x000D_
_x000D_
3.9_x000D_
3.9 out of 5 stars_x000D_
 (209)  _x000D_
_x000D_
_x000D_
Price, product page£349.00£349.00_x000D_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£199.09(3 used &amp; new offers)</t>
  </si>
  <si>
    <t>B01DXEW0D4</t>
  </si>
  <si>
    <t>_x000D_
_x000D_
_x000D_
_x000D_
_x000D_
_x000D_
_x000D_
_x000D_
_x000D_
_x000D_
_x000D_
_x000D_
_x000D_
_x000D_
_x000D_
_x000D_
_x000D_
_x000D_
Vintage - 1389/14 - green_x000D_
 _x000D_
_x000D_
3.8_x000D_
3.8 out of 5 stars_x000D_
 (833)  _x000D_
_x000D_
_x000D_
_x000D_
_x000D_
_x000D_
_x000D_
_x000D_
_x000D_
_x000D_
_x000D_
See options_x000D_
_x000D_
_x000D_
No featured offers available_x000D_
£124.99(3 new offers)_x000D_
_x000D_
_x000D_
_x000D_
_x000D_
Energy Efficiency Class: A</t>
  </si>
  <si>
    <t>B0FCMGMDPC</t>
  </si>
  <si>
    <t xml:space="preserve">_x000D_
_x000D_
_x000D_
_x000D_
_x000D_
_x000D_
_x000D_
_x000D_
_x000D_
_x000D_
_x000D_
_x000D_
_x000D_
+3 other colours/patterns_x000D_
_x000D_
_x000D_
SponsoredSponsored _x000D_
_x000D_
You’re seeing this ad based on the product’s relevance to your search query._x000D_
Let us know  _x000D_
_x000D_
AMZCHEF 20-Bar-Professional-Espresso-Machine, 1350W Coffee Machine with Milk Frother, Flexible Brewing Options, Compact Espresso Machine for Cappuccino, Latte, White_x000D_
 _x000D_
_x000D_
4.4_x000D_
4.4 out of 5 stars_x000D_
 (125)  _x000D_
100+ bought in past month_x000D_
_x000D_
_x000D_
_x000D_
Price, product page£99.99£99.99_x000D_
_x000D_
_x000D_
10% off coupon applied_x000D_
Save 10%  with voucher_x000D_
 _x000D_
_x000D_
_x000D_
_x000D_
_x000D_
_x000D_
_x000D_
FREE delivery Tue 10 Mar_x000D_
_x000D_
_x000D_
Or fastest delivery Tomorrow, 8 Mar_x000D_
_x000D_
_x000D_
_x000D_
_x000D_
_x000D_
_x000D_
_x000D_
 Recycled materials +2 more_x000D_
_x000D_
_x000D_
_x000D_
_x000D_
_x000D_
Sustainability features_x000D_
This product has sustainability features recognised by trusted certifications. _x000D_
_x000D_
_x000D_
_x000D_
Recycled materials_x000D_
_x000D_
_x000D_
_x000D_
Contains at least 50% recycled material._x000D_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Safer chemicals_x000D_
_x000D_
_x000D_
_x000D_
Made with chemicals safer for human health and the environment._x000D_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Worker well-being_x000D_
_x000D_
_x000D_
_x000D_
Manufactured on farms or in facilities that protect the rights and/or health of workers._x000D_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_x000D_
_x000D_
_x000D_
Discover more products with sustainability features. Learn more_x000D_
_x000D_
_x000D_
_x000D_
_x000D_
_x000D_
_x000D_
_x000D_
_x000D_
_x000D_
_x000D_
_x000D_
_x000D_
_x000D_
_x000D_
Add to basket_x000D_
_x000D_
_x000D_
_x000D_
_x000D_
_x000D_
_x000D_
 </t>
  </si>
  <si>
    <t>B0B8NN89VS</t>
  </si>
  <si>
    <t xml:space="preserve">_x000D_
_x000D_
_x000D_
_x000D_
_x000D_
_x000D_
_x000D_
_x000D_
_x000D_
_x000D_
_x000D_
_x000D_
_x000D_
+3 other colours/patterns_x000D_
_x000D_
_x000D_
SponsoredSponsored _x000D_
_x000D_
You’re seeing this ad based on the product’s relevance to your search query._x000D_
Let us know  _x000D_
_x000D_
Nespresso Vertuo Pop Automatic Pod coffee machine for Americano, Decaf, Espresso by Krups in Coconut White_x000D_
 _x000D_
_x000D_
4.1_x000D_
4.1 out of 5 stars_x000D_
 (384)  _x000D_
200+ bought in past month_x000D_
_x000D_
_x000D_
_x000D_
Limited time deal_x000D_
_x000D_
_x000D_
Price, product page£64.00£64.00 RRP: £99.99_x000D_
RRP: £99.99£99.99_x000D_
_x000D_
_x000D_
Free milk Frother with 100 pods_x000D_
_x000D_
_x000D_
_x000D_
_x000D_
_x000D_
_x000D_
_x000D_
FREE delivery Thu 12 Mar_x000D_
_x000D_
_x000D_
Or fastest delivery Wed 11 Mar_x000D_
_x000D_
_x000D_
_x000D_
_x000D_
_x000D_
_x000D_
_x000D_
_x000D_
_x000D_
_x000D_
_x000D_
_x000D_
_x000D_
_x000D_
Add to basket_x000D_
_x000D_
_x000D_
_x000D_
_x000D_
_x000D_
_x000D_
 </t>
  </si>
  <si>
    <t>B0DP58QRQC</t>
  </si>
  <si>
    <t xml:space="preserve">_x000D_
_x000D_
_x000D_
_x000D_
_x000D_
_x000D_
_x000D_
_x000D_
_x000D_
_x000D_
_x000D_
_x000D_
_x000D_
+3 other colours/patterns_x000D_
_x000D_
_x000D_
SponsoredSponsored _x000D_
_x000D_
You’re seeing this ad based on the product’s relevance to your search query._x000D_
Let us know  _x000D_
_x000D_
Tassimo by Bosch Finesse Friendly Pod Coffee Machine in Black TAS162EGB with INTELLIBREW and IntensityBoost, Compatible with 50 Different Beverages_x000D_
 _x000D_
_x000D_
4.4_x000D_
4.4 out of 5 stars_x000D_
 (187)  _x000D_
400+ bought in past month_x000D_
_x000D_
_x000D_
_x000D_
Price, product page£39.00£39.00 RRP: £118.99_x000D_
RRP: £118.99£118.99_x000D_
_x000D_
_x000D_
£20 off drinks_x000D_
_x000D_
_x000D_
_x000D_
_x000D_
_x000D_
_x000D_
_x000D_
FREE delivery Sun 5 Apr_x000D_
_x000D_
_x000D_
_x000D_
_x000D_
_x000D_
_x000D_
_x000D_
_x000D_
_x000D_
_x000D_
_x000D_
_x000D_
_x000D_
_x000D_
Add to basket_x000D_
_x000D_
_x000D_
_x000D_
_x000D_
_x000D_
_x000D_
 </t>
  </si>
  <si>
    <t>B08124SNX1</t>
  </si>
  <si>
    <t xml:space="preserve">_x000D_
_x000D_
_x000D_
_x000D_
_x000D_
_x000D_
_x000D_
_x000D_
_x000D_
_x000D_
_x000D_
_x000D_
_x000D_
+3 other colours/patterns_x000D_
_x000D_
_x000D_
SponsoredSponsored _x000D_
_x000D_
You’re seeing this ad based on the product’s relevance to your search query._x000D_
Let us know  _x000D_
_x000D_
Tassimo by Bosch My Way 2 TAS6507GB Coffee Machine, 1500 Watt, 1.3 Litre - Cream_x000D_
 _x000D_
_x000D_
4.6_x000D_
4.6 out of 5 stars_x000D_
 (5.3K)  _x000D_
50+ bought in past month_x000D_
_x000D_
_x000D_
_x000D_
Price, product page£99.99£99.99_x000D_
_x000D_
_x000D_
£20 off drinks_x000D_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</si>
  <si>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B086H24F5F</t>
  </si>
  <si>
    <t xml:space="preserve">_x000D_
_x000D_
_x000D_
_x000D_
_x000D_
_x000D_
_x000D_
_x000D_
_x000D_
_x000D_
_x000D_
_x000D_
_x000D_
+7 other colours/patterns_x000D_
_x000D_
_x000D_
SponsoredSponsored _x000D_
_x000D_
You’re seeing this ad based on the product’s relevance to your search query._x000D_
Let us know  _x000D_
_x000D_
Gaggia Classic E24 Evo Pro Manual Espresso Coffee Machine Maker with Brass Boiler &amp; Solenoid Valve - Cherry Red_x000D_
 _x000D_
_x000D_
4.3_x000D_
4.3 out of 5 stars_x000D_
 (932)  _x000D_
_x000D_
_x000D_
Price, product page£549.00£549.00_x000D_
_x000D_
_x000D_
_x000D_
_x000D_
_x000D_
_x000D_
_x000D_
_x000D_
FREE delivery 11 - 12 Mar_x000D_
_x000D_
Only 14 left in stock._x000D_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basket_x000D_
_x000D_
_x000D_
_x000D_
_x000D_
_x000D_
_x000D_
 </t>
  </si>
  <si>
    <t>B0D1FXXRM6</t>
  </si>
  <si>
    <t>_x000D_
_x000D_
_x000D_
_x000D_
_x000D_
_x000D_
_x000D_
_x000D_
_x000D_
_x000D_
_x000D_
+1 other colour/pattern_x000D_
_x000D_
_x000D_
Aigostar 20Bar Espresso Coffee Machine for Capsule &amp; Ground Coffee, Cappuccino &amp; Latte Maker with Milk Frother Wand, Stainless Steel Professional Espresso Maker, Touch Panel, Removable Tank - Barista_x000D_
 _x000D_
_x000D_
4.0_x000D_
4.0 out of 5 stars_x000D_
 (69)  _x000D_
_x000D_
_x000D_
Price, product page£113.99£113.99_x000D_
_x000D_
_x000D_
5% off coupon applied_x000D_
Save 5%  with voucher_x000D_
 _x000D_
_x000D_
_x000D_
_x000D_
_x000D_
_x000D_
_x000D_
FREE delivery Tue 10 Mar_x000D_
_x000D_
_x000D_
_x000D_
_x000D_
_x000D_
_x000D_
_x000D_
_x000D_
_x000D_
_x000D_
_x000D_
_x000D_
_x000D_
_x000D_
Add to basket</t>
  </si>
  <si>
    <t>B009F5WRUC</t>
  </si>
  <si>
    <t>_x000D_
_x000D_
_x000D_
_x000D_
_x000D_
_x000D_
_x000D_
_x000D_
_x000D_
_x000D_
_x000D_
+1 other colour/pattern_x000D_
_x000D_
_x000D_
Ariete 1388A Pressure Coffee Machine Retro-red 1388, Stainless Steel, 900 W, 1 Liter_x000D_
 _x000D_
_x000D_
3.6_x000D_
3.6 out of 5 stars_x000D_
 (658)  _x000D_
_x000D_
_x000D_
Price, product page£114.97£114.97_x000D_
_x000D_
_x000D_
_x000D_
_x000D_
_x000D_
_x000D_
_x000D_
_x000D_
FREE delivery Tue 10 Mar_x000D_
_x000D_
_x000D_
Or fastest delivery Tomorrow, 8 Mar_x000D_
_x000D_
Only 11 left in stock._x000D_
_x000D_
_x000D_
_x000D_
_x000D_
_x000D_
_x000D_
_x000D_
_x000D_
_x000D_
_x000D_
_x000D_
_x000D_
_x000D_
_x000D_
Add to basket</t>
  </si>
  <si>
    <t>B092ZYPY7B</t>
  </si>
  <si>
    <t>_x000D_
_x000D_
_x000D_
_x000D_
_x000D_
_x000D_
_x000D_
_x000D_
_x000D_
_x000D_
_x000D_
+1 other colour/pattern_x000D_
_x000D_
_x000D_
Klarstein 1.2L Filter Coffee Machine, 10 Cup Barista Coffee Machines, Small 800W Filtered Coffee Makers for Ground Coffee w/Timer, Stainless Steel Thermal Jug, Espresso Machine for Hot &amp; Ice Coffee_x000D_
 _x000D_
_x000D_
3.6_x000D_
3.6 out of 5 stars_x000D_
 (271)  _x000D_
_x000D_
_x000D_
Limited time deal_x000D_
_x000D_
_x000D_
Price, product page£50.99£50.99 Was: £59.99_x000D_
Was: £59.99£59.99_x000D_
_x000D_
_x000D_
_x000D_
_x000D_
_x000D_
_x000D_
_x000D_
_x000D_
FREE delivery 13 - 16 Mar_x000D_
_x000D_
_x000D_
_x000D_
_x000D_
_x000D_
_x000D_
_x000D_
_x000D_
_x000D_
_x000D_
_x000D_
_x000D_
_x000D_
_x000D_
Add to basket</t>
  </si>
  <si>
    <t>B07JK24D3K</t>
  </si>
  <si>
    <t>_x000D_
_x000D_
_x000D_
_x000D_
_x000D_
_x000D_
_x000D_
_x000D_
_x000D_
_x000D_
_x000D_
+1 other colour/pattern_x000D_
_x000D_
_x000D_
KLARSTEIN BellaVita Coffee Machine - 3-in-1 Coffee Maker, Espresso Machine with 0.4 l Milk frother, Cappuccino and Latte Macchiato, 1450 watts, 20 bar, 1.4 l Water Tank, Self-Cleaning System, Black_x000D_
 _x000D_
_x000D_
3.6_x000D_
3.6 out of 5 stars_x000D_
 (447)  _x000D_
_x000D_
_x000D_
Price, product page£128.24£128.24_x000D_
_x000D_
_x000D_
_x000D_
_x000D_
_x000D_
_x000D_
_x000D_
_x000D_
FREE delivery 16 - 18 Mar_x000D_
_x000D_
_x000D_
_x000D_
_x000D_
_x000D_
_x000D_
_x000D_
_x000D_
_x000D_
_x000D_
_x000D_
_x000D_
_x000D_
_x000D_
Add to basket</t>
  </si>
  <si>
    <t>B073ZL4Y7F</t>
  </si>
  <si>
    <t>_x000D_
_x000D_
_x000D_
_x000D_
_x000D_
_x000D_
_x000D_
_x000D_
_x000D_
_x000D_
_x000D_
+1 other colour/pattern_x000D_
_x000D_
_x000D_
Nespresso DELONGHI Essenza Coffee EN85 | DELONGHI Red Automatica_x000D_
 _x000D_
_x000D_
4.4_x000D_
4.4 out of 5 stars_x000D_
 (9.6K)  _x000D_
30+ bought in past month_x000D_
_x000D_
_x000D_
_x000D_
Price, product page£108.99£108.99_x000D_
_x000D_
_x000D_
_x000D_
_x000D_
_x000D_
_x000D_
_x000D_
_x000D_
FREE delivery Tue 10 Mar_x000D_
_x000D_
_x000D_
Or fastest delivery Mon 9 Mar_x000D_
_x000D_
Only 1 left in stock._x000D_
_x000D_
_x000D_
_x000D_
_x000D_
_x000D_
_x000D_
_x000D_
_x000D_
_x000D_
_x000D_
_x000D_
_x000D_
_x000D_
_x000D_
Add to basket_x000D_
_x000D_
_x000D_
_x000D_
_x000D_
_x000D_
_x000D_
_x000D_
Energy Efficiency Class: A</t>
  </si>
  <si>
    <t>B01MG4VZCT</t>
  </si>
  <si>
    <t>_x000D_
_x000D_
_x000D_
_x000D_
_x000D_
_x000D_
_x000D_
_x000D_
_x000D_
_x000D_
_x000D_
+1 other colour/pattern_x000D_
_x000D_
_x000D_
Nespresso Inissia Original Espresso Machine by De'Longhi, Black, EN80B_x000D_
 _x000D_
_x000D_
4.2_x000D_
4.2 out of 5 stars_x000D_
 (11.1K)  _x000D_
50+ bought in past month_x000D_
_x000D_
_x000D_
_x000D_
Price, product page£104.99£104.99_x000D_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£99.00(6 new offers)</t>
  </si>
  <si>
    <t>B08XZM7GYX</t>
  </si>
  <si>
    <t>_x000D_
_x000D_
_x000D_
_x000D_
_x000D_
_x000D_
_x000D_
_x000D_
_x000D_
_x000D_
_x000D_
+1 other colour/pattern_x000D_
_x000D_
_x000D_
Nespresso Vertuo Next Automatic Pod coffee machine for Americano, Decaf, Espresso by Krups in Matt Black_x000D_
 _x000D_
_x000D_
4.1_x000D_
4.1 out of 5 stars_x000D_
 (755)  _x000D_
100+ bought in past month_x000D_
_x000D_
_x000D_
_x000D_
Price, product page£121.18£121.18_x000D_
_x000D_
_x000D_
Buy any 2, Save 5%_x000D_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basket_x000D_
_x000D_
_x000D_
_x000D_
_x000D_
_x000D_
_x000D_
_x000D_
_x000D_
More buying choices_x000D_
£37.71(9+ used &amp; new offers)</t>
  </si>
  <si>
    <t>B09ZVJTNXS</t>
  </si>
  <si>
    <t>_x000D_
_x000D_
_x000D_
_x000D_
_x000D_
_x000D_
_x000D_
_x000D_
_x000D_
_x000D_
_x000D_
+1 other colour/pattern_x000D_
_x000D_
_x000D_
Sage - The Bambino - Compact Coffee Machine with Automatic Milk Frother, Brushed Stainless Steel_x000D_
 _x000D_
_x000D_
4.3_x000D_
4.3 out of 5 stars_x000D_
 (266)  _x000D_
_x000D_
_x000D_
_x000D_
_x000D_
_x000D_
_x000D_
_x000D_
_x000D_
_x000D_
_x000D_
See options_x000D_
_x000D_
_x000D_
No featured offers available_x000D_
£407.89(3 used &amp; new offers)</t>
  </si>
  <si>
    <t>B081CYDZC1</t>
  </si>
  <si>
    <t xml:space="preserve">_x000D_
_x000D_
_x000D_
_x000D_
_x000D_
_x000D_
_x000D_
_x000D_
_x000D_
_x000D_
_x000D_
+1 other colour/pattern_x000D_
_x000D_
_x000D_
Tassimo by Bosch Suny 'Special Edition' TAS3102GB Coffee Machine,1300 Watt, 0.8 Litre - Black_x000D_
 _x000D_
_x000D_
4.5_x000D_
4.5 out of 5 stars_x000D_
 (18.8K)  _x000D_
1K+ bought in past month_x000D_
_x000D_
_x000D_
_x000D_
Price, product page£34.99£34.99 RRP: £39.99_x000D_
RRP: £39.99£39.99_x000D_
_x000D_
_x000D_
£20 off drinks_x000D_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t>
  </si>
  <si>
    <t>B0FQ5B57Q3</t>
  </si>
  <si>
    <t>_x000D_
_x000D_
_x000D_
_x000D_
_x000D_
_x000D_
_x000D_
_x000D_
_x000D_
_x000D_
_x000D_
+1 other colour/pattern_x000D_
_x000D_
_x000D_
Yabano Stovetop Espresso Maker, 6 Cup Moka Pot Italian Coffee Maker for Rich Espresso, Cappuccino or Latte – Durable Aluminium Greca Coffee Maker for Gas, Electric &amp; Ceramic Hobs (Black+Silver)_x000D_
 _x000D_
_x000D_
4.4_x000D_
4.4 out of 5 stars_x000D_
 (1.9K)  _x000D_
100+ bought in past month_x000D_
_x000D_
_x000D_
_x000D_
Limited time deal_x000D_
_x000D_
_x000D_
Price, product page£14.51£14.51 RRP: £17.99_x000D_
RRP: £17.99£17.99_x000D_
_x000D_
_x000D_
Save 5% on any 4 qualifying items_x000D_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£13.78(3+ used &amp; new offers)</t>
  </si>
  <si>
    <t>B0F1Y7C8PZ</t>
  </si>
  <si>
    <t>_x000D_
_x000D_
_x000D_
_x000D_
_x000D_
_x000D_
_x000D_
_x000D_
_x000D_
_x000D_
_x000D_
+2 other colours/patterns_x000D_
_x000D_
_x000D_
3-in-1 Portable Espresso Maker – Compact Coffee Machine for Travel | Compatible with Ground Coffee, Large &amp; Small Capsules | Self-Heating, USB-C, Ideal for Camping, Office &amp; Home_x000D_
 _x000D_
_x000D_
4.1_x000D_
4.1 out of 5 stars_x000D_
 (32)  _x000D_
_x000D_
_x000D_
Price, product page£69.99£69.99 RRP: £79.99_x000D_
RRP: £79.99£79.99_x000D_
_x000D_
_x000D_
£5.00 off coupon applied_x000D_
Save £5.00  with voucher_x000D_
 _x000D_
_x000D_
_x000D_
_x000D_
_x000D_
_x000D_
_x000D_
FREE delivery Tue 10 Mar_x000D_
_x000D_
_x000D_
Or fastest delivery Tomorrow, 8 Mar_x000D_
_x000D_
Only 4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basket_x000D_
_x000D_
_x000D_
_x000D_
_x000D_
_x000D_
_x000D_
_x000D_
_x000D_
More buying choices_x000D_
£67.99(2 used &amp; new offers)</t>
  </si>
  <si>
    <t>B0FWK5Y88K</t>
  </si>
  <si>
    <t>_x000D_
_x000D_
_x000D_
_x000D_
_x000D_
_x000D_
_x000D_
_x000D_
_x000D_
_x000D_
_x000D_
+2 other colours/patterns_x000D_
_x000D_
_x000D_
5 in 1 Espresso Single Serve Coffee Machine for Nespresso Original/Dolce Gusto/Mio/L’OR/Ground Capsule and ESE Coffee Pods,19Bar Multi-Capsule Coffee Machine AC-513HF(BLACK-513HF)_x000D_
 _x000D_
_x000D_
4.1_x000D_
4.1 out of 5 stars_x000D_
 (345)  _x000D_
_x000D_
_x000D_
Save 5%_x000D_
_x000D_
_x000D_
Price, product page£101.83£101.83 Was: £107.19_x000D_
Was: £107.19£107.19_x000D_
_x000D_
_x000D_
Lowest price in 30 days_x000D_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£99.79(2 used &amp; new offers)</t>
  </si>
  <si>
    <t>B01MTZ419O</t>
  </si>
  <si>
    <t>_x000D_
_x000D_
_x000D_
_x000D_
_x000D_
_x000D_
_x000D_
_x000D_
_x000D_
_x000D_
_x000D_
+2 other colours/patterns_x000D_
_x000D_
_x000D_
De'Longhi Nespresso VertuoPlus Coffee and Espresso Maker with Aeroccino, Grey_x000D_
 _x000D_
_x000D_
4.6_x000D_
4.6 out of 5 stars_x000D_
 (5.3K)  _x000D_
_x000D_
_x000D_
Price, product page£195.07£195.07_x000D_
_x000D_
_x000D_
_x000D_
_x000D_
_x000D_
_x000D_
_x000D_
_x000D_
_x000D_
_x000D_
_x000D_
_x000D_
_x000D_
_x000D_
_x000D_
_x000D_
_x000D_
_x000D_
Add to basket</t>
  </si>
  <si>
    <t>B0F2VCDDCP</t>
  </si>
  <si>
    <t>_x000D_
_x000D_
_x000D_
_x000D_
_x000D_
_x000D_
_x000D_
_x000D_
_x000D_
_x000D_
_x000D_
+2 other colours/patterns_x000D_
_x000D_
_x000D_
KitchenAid Semi Automatic Espresso Machine with Burr Grinder - Stainless steel 5KES6551BSX_x000D_
 _x000D_
_x000D_
4.0_x000D_
4.0 out of 5 stars_x000D_
 (22)  _x000D_
_x000D_
_x000D_
Price, product page£498.00£498.00 RRP: £699.00_x000D_
RRP: £699.00£699.00_x000D_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£275.25(4+ used &amp; new offers)</t>
  </si>
  <si>
    <t>B06XJ3MFMN</t>
  </si>
  <si>
    <t>_x000D_
_x000D_
_x000D_
_x000D_
_x000D_
_x000D_
_x000D_
_x000D_
_x000D_
_x000D_
_x000D_
+2 other colours/patterns_x000D_
_x000D_
_x000D_
Krups Nespresso Essenza Mini Capsule Coffee Maker, 19-Bar Coffee Machine with 2 Coffee Programmes, Ultra-Compact Size and Auto-Off Function, 1450 W, 0.6 litres White_x000D_
 _x000D_
_x000D_
4.0_x000D_
4.0 out of 5 stars_x000D_
 (20K)  _x000D_
50+ bought in past month_x000D_
_x000D_
_x000D_
_x000D_
Price, product page£114.99£114.99 Was: £125.49_x000D_
Was: £125.49£125.49_x000D_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t>
  </si>
  <si>
    <t>B0DFCRHTNM</t>
  </si>
  <si>
    <t>_x000D_
_x000D_
_x000D_
_x000D_
_x000D_
_x000D_
_x000D_
_x000D_
_x000D_
_x000D_
_x000D_
+2 other colours/patterns_x000D_
_x000D_
_x000D_
Ninja Luxe Premier 3-in-1 Coffee Machine, Latte, Cappuccino, Cold Brew &amp; Espresso Maker With Built in Bean Grinder &amp; Milk Frother, Easy to Use, 4 Automated Froth Presets, Silver, ES601UK_x000D_
 _x000D_
_x000D_
4.4_x000D_
4.4 out of 5 stars_x000D_
 (429)  _x000D_
400+ bought in past month_x000D_
_x000D_
_x000D_
_x000D_
Price, product page£449.99£449.99 RRP: £549.99_x000D_
RRP: £549.99£549.99_x000D_
_x000D_
_x000D_
_x000D_
_x000D_
_x000D_
_x000D_
_x000D_
_x000D_
FREE delivery Tue 31 Mar_x000D_
_x000D_
_x000D_
_x000D_
_x000D_
_x000D_
_x000D_
_x000D_
_x000D_
_x000D_
_x000D_
_x000D_
_x000D_
_x000D_
_x000D_
Add to basket_x000D_
_x000D_
_x000D_
_x000D_
_x000D_
_x000D_
_x000D_
_x000D_
_x000D_
More buying choices_x000D_
£327.24(4+ used &amp; new offers)</t>
  </si>
  <si>
    <t>B0DYDQ5G9V</t>
  </si>
  <si>
    <t>_x000D_
_x000D_
_x000D_
_x000D_
_x000D_
_x000D_
_x000D_
_x000D_
_x000D_
_x000D_
_x000D_
+3 other colours/patterns_x000D_
_x000D_
_x000D_
3-in-1 Portable Coffee Machine Wireless, Espresso Coffee Maker for Small &amp; Large Capsules, Ground Coffee Self Heating Capsules Pods Espresso for Home Office Car RV Camping Hiking Travel, Grey_x000D_
 _x000D_
_x000D_
3.7_x000D_
3.7 out of 5 stars_x000D_
 (147)  _x000D_
_x000D_
_x000D_
Price, product page£39.99£39.99_x000D_
_x000D_
_x000D_
5% off coupon applied_x000D_
Save 5%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</si>
  <si>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B0CMQQGGM3</t>
  </si>
  <si>
    <t>_x000D_
_x000D_
_x000D_
_x000D_
_x000D_
_x000D_
_x000D_
_x000D_
_x000D_
_x000D_
_x000D_
+3 other colours/patterns_x000D_
_x000D_
_x000D_
Klarstein Retro Coffee Machines with Milk Frother, 1.4L Espresso Coffee Machine Maker, Integrated Grinder, 1550W Espresso &amp; Cappuccino Machines, ThermoBlock Espresso Machine, Cappuccino Latte Expresso_x000D_
 _x000D_
_x000D_
3.8_x000D_
3.8 out of 5 stars_x000D_
 (191)  _x000D_
_x000D_
_x000D_
Price, product page£258.99£258.99_x000D_
_x000D_
_x000D_
_x000D_
_x000D_
_x000D_
_x000D_
_x000D_
_x000D_
FREE delivery 13 - 16 Mar_x000D_
_x000D_
_x000D_
_x000D_
_x000D_
_x000D_
_x000D_
_x000D_
_x000D_
_x000D_
_x000D_
_x000D_
_x000D_
_x000D_
_x000D_
Add to basket</t>
  </si>
  <si>
    <t>B0FQNYG8CV</t>
  </si>
  <si>
    <t>_x000D_
_x000D_
_x000D_
_x000D_
_x000D_
_x000D_
_x000D_
_x000D_
_x000D_
_x000D_
_x000D_
+3 other colours/patterns_x000D_
_x000D_
_x000D_
Sage - The Barista Express - Bean to Cup Coffee Machine with Grinder and Manual Milk Frother - 16 Grind Settings, 15 Bar Pump, PID Temp Control, Brushed Stainless Steel_x000D_
 _x000D_
_x000D_
4.6_x000D_
4.6 out of 5 stars_x000D_
 (2.5K)  _x000D_
_x000D_
_x000D_
Save 21%_x000D_
_x000D_
_x000D_
Price, product page£499.00£499.00 RRP: £629.95_x000D_
RRP: £629.95£629.95_x000D_
_x000D_
_x000D_
Lowest price in 30 days_x000D_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</si>
  <si>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B0FQ5ZS1TM</t>
  </si>
  <si>
    <t>_x000D_
_x000D_
_x000D_
_x000D_
_x000D_
_x000D_
_x000D_
_x000D_
_x000D_
_x000D_
_x000D_
+3 other colours/patterns_x000D_
_x000D_
_x000D_
Sjöstrand The Original Capsule Coffee Machine, Pod Machine, Stainless Steel Body, Espresso or Lungo Coffee, 1.2L Tank Capacity, 19 bar Pressure, Beige_x000D_
 _x000D_
_x000D_
3.8_x000D_
3.8 out of 5 stars_x000D_
 (5)  _x000D_
_x000D_
_x000D_
Price, product page£329.00£329.00_x000D_
_x000D_
_x000D_
_x000D_
_x000D_
_x000D_
_x000D_
_x000D_
_x000D_
FREE delivery Tue 10 Mar_x000D_
_x000D_
_x000D_
_x000D_
_x000D_
_x000D_
_x000D_
_x000D_
_x000D_
_x000D_
_x000D_
_x000D_
_x000D_
_x000D_
_x000D_
Add to basket</t>
  </si>
  <si>
    <t>B082WNLBWL</t>
  </si>
  <si>
    <t>_x000D_
_x000D_
_x000D_
_x000D_
_x000D_
_x000D_
_x000D_
_x000D_
_x000D_
_x000D_
_x000D_
+3 other colours/patterns_x000D_
_x000D_
_x000D_
Swan Nordic Espresso Machine, White, 15 bar Pressure, Milk frother, 1.2L Tank, Scandi Style, SK22110WHTN_x000D_
 _x000D_
_x000D_
4.0_x000D_
4.0 out of 5 stars_x000D_
 (1.6K)  _x000D_
_x000D_
_x000D_
Price, product page£99.00£99.00 RRP: £119.99_x000D_
RRP: £119.99£119.99_x000D_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£72.49(4+ used &amp; new offers)</t>
  </si>
  <si>
    <t>B082WMQQWW</t>
  </si>
  <si>
    <t>_x000D_
_x000D_
_x000D_
_x000D_
_x000D_
_x000D_
_x000D_
_x000D_
_x000D_
_x000D_
_x000D_
+3 other colours/patterns_x000D_
_x000D_
_x000D_
Swan SK22110GRYN Nordic Espresso Coffee Machine with Milk Frother, Steam Pressure Control, 1.2L Detachable Water Tank, 1100W, Nordic Slate Grey_x000D_
 _x000D_
_x000D_
4.0_x000D_
4.0 out of 5 stars_x000D_
 (1.6K)  _x000D_
_x000D_
_x000D_
Limited time deal_x000D_
_x000D_
_x000D_
Price, product page£76.86£76.86 RRP: £119.99_x000D_
RRP: £119.99£119.99_x000D_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</si>
  <si>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B0DP5685DW</t>
  </si>
  <si>
    <t xml:space="preserve">_x000D_
_x000D_
_x000D_
_x000D_
_x000D_
_x000D_
_x000D_
_x000D_
_x000D_
_x000D_
_x000D_
+3 other colours/patterns_x000D_
_x000D_
_x000D_
Tassimo by Bosch Finesse Friendly Pod Coffee Machine in Red TAS163EGB with INTELLIBREW and IntensityBoost, Compatible with 50 Different Beverages_x000D_
 _x000D_
_x000D_
4.4_x000D_
4.4 out of 5 stars_x000D_
 (187)  _x000D_
300+ bought in past month_x000D_
_x000D_
_x000D_
_x000D_
Price, product page£39.99£39.99 Was: £59.98_x000D_
Was: £59.98£59.98_x000D_
_x000D_
_x000D_
£20 off drinks_x000D_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</si>
  <si>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B0812552CW</t>
  </si>
  <si>
    <t>_x000D_
_x000D_
_x000D_
_x000D_
_x000D_
_x000D_
_x000D_
_x000D_
_x000D_
_x000D_
_x000D_
+3 other colours/patterns_x000D_
_x000D_
_x000D_
Tassimo by Bosch My Way 2 TAS6502GB Coffee Machine, 1500 Watt, 1.3 Litre - Black_x000D_
 _x000D_
_x000D_
4.6_x000D_
4.6 out of 5 stars_x000D_
 (5.3K)  _x000D_
100+ bought in past month_x000D_
_x000D_
_x000D_
_x000D_
Price, product page£99.99£99.99_x000D_
_x000D_
_x000D_
£20 off drinks_x000D_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£63.99(11+ used &amp; new offers)</t>
  </si>
  <si>
    <t>B0FGCSYK94</t>
  </si>
  <si>
    <t>_x000D_
_x000D_
_x000D_
_x000D_
_x000D_
_x000D_
_x000D_
_x000D_
_x000D_
_x000D_
_x000D_
+4 other colours/patterns_x000D_
_x000D_
_x000D_
Portable Electric Espresso Machine, Travel Coffee Maker Brewer Compatible with Ground Coffee &amp; NS Capsules (Black with LCD Screen)_x000D_
 _x000D_
_x000D_
4.0_x000D_
4.0 out of 5 stars_x000D_
 (54)  _x000D_
_x000D_
_x000D_
Price, product page£49.99£49.99 Was: £52.49_x000D_
Was: £52.49£52.49_x000D_
_x000D_
_x000D_
_x000D_
_x000D_
_x000D_
_x000D_
_x000D_
_x000D_
FREE delivery 28 Mar - 2 Apr_x000D_
_x000D_
_x000D_
_x000D_
_x000D_
_x000D_
_x000D_
_x000D_
_x000D_
_x000D_
_x000D_
_x000D_
_x000D_
_x000D_
_x000D_
Add to basket</t>
  </si>
  <si>
    <t>B0C37GQBV3</t>
  </si>
  <si>
    <t xml:space="preserve">_x000D_
_x000D_
_x000D_
_x000D_
_x000D_
_x000D_
_x000D_
_x000D_
_x000D_
_x000D_
_x000D_
+6 other colours/patterns_x000D_
_x000D_
_x000D_
De'Longhi La Specialista Arte EC9155.W, Barista Pump Espresso Machine, Bean to Cup Coffee and Cappuccino Maker, 8 Grinding Settings, MyLatte Art Frothing Wand, 1550W, White_x000D_
 _x000D_
_x000D_
4.3_x000D_
4.3 out of 5 stars_x000D_
 (615)  _x000D_
_x000D_
_x000D_
Price, product page£350.00£350.00 RRP: £529.99_x000D_
RRP: £529.99£529.99_x000D_
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</si>
  <si>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B07KGR95MQ</t>
  </si>
  <si>
    <t>_x000D_
_x000D_
_x000D_
_x000D_
_x000D_
_x000D_
_x000D_
_x000D_
_x000D_
_x000D_
_x000D_
+6 other colours/patterns_x000D_
_x000D_
_x000D_
Swan SK22110GRN Retro Espresso Plastic Coffee Machine with Milk Frother, Steam Pressure Control, 1.2L Detachable Water Tank, 1100W, Retro Grey_x000D_
 _x000D_
_x000D_
4.1_x000D_
4.1 out of 5 stars_x000D_
 (4.2K)  _x000D_
_x000D_
_x000D_
_x000D_
_x000D_
_x000D_
_x000D_
_x000D_
_x000D_
_x000D_
_x000D_
See options_x000D_
_x000D_
_x000D_
No featured offers available_x000D_
£112.85(7 new offers)</t>
  </si>
  <si>
    <t>B086H1W384</t>
  </si>
  <si>
    <t xml:space="preserve">_x000D_
_x000D_
_x000D_
_x000D_
_x000D_
_x000D_
_x000D_
_x000D_
_x000D_
_x000D_
_x000D_
+7 other colours/patterns_x000D_
_x000D_
_x000D_
Gaggia Classic E24 Evo Pro Manual Espresso Coffee Machine Maker with Brass Boiler &amp; Solenoid Valve - Classic Blue_x000D_
 _x000D_
_x000D_
4.3_x000D_
4.3 out of 5 stars_x000D_
 (932)  _x000D_
_x000D_
_x000D_
Price, product page£549.00£549.00_x000D_
_x000D_
_x000D_
_x000D_
_x000D_
_x000D_
_x000D_
_x000D_
_x000D_
_x000D_
FREE delivery 11 - 12 Mar_x000D_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basket_x000D_
_x000D_
_x000D_
_x000D_
_x000D_
_x000D_
_x000D_
 </t>
  </si>
  <si>
    <t>B086H42T3V</t>
  </si>
  <si>
    <t>_x000D_
_x000D_
_x000D_
_x000D_
_x000D_
_x000D_
_x000D_
_x000D_
_x000D_
_x000D_
_x000D_
+7 other colours/patterns_x000D_
_x000D_
_x000D_
Gaggia Classic E24 Evo Pro Manual Espresso Coffee Machine Maker with Brass Boiler &amp; Solenoid Valve - Industrial Grey_x000D_
 _x000D_
_x000D_
4.3_x000D_
4.3 out of 5 stars_x000D_
 (932)  _x000D_
_x000D_
_x000D_
Price, product page£549.00£549.00_x000D_
_x000D_
_x000D_
_x000D_
_x000D_
_x000D_
_x000D_
_x000D_
_x000D_
FREE delivery 11 - 12 Mar_x000D_
_x000D_
Only 6 left in stock._x000D_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</si>
  <si>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B00400OMU0</t>
  </si>
  <si>
    <t xml:space="preserve">_x000D_
_x000D_
_x000D_
_x000D_
_x000D_
_x000D_
_x000D_
_x000D_
_x000D_
_x000D_
_x000D_
Best Seller_x000D_
in Bean-to-Cup Coffee Machines_x000D_
_x000D_
_x000D_
_x000D_
_x000D_
_x000D_
_x000D_
_x000D_
+5 other colours/patterns_x000D_
_x000D_
_x000D_
SponsoredSponsored _x000D_
_x000D_
You’re seeing this ad based on the product’s relevance to your search query._x000D_
Let us know  _x000D_
_x000D_
De'Longhi Magnifica S, Automatic Bean to Cup Coffee Machine, Espresso and Cappuccino Maker, ECAM22.110.B, Black_x000D_
 _x000D_
_x000D_
4.3_x000D_
4.3 out of 5 stars_x000D_
 (49.7K)  _x000D_
300+ bought in past month_x000D_
_x000D_
_x000D_
_x000D_
Price, product page£299.99£299.99 RRP: £349.00_x000D_
RRP: £349.00£349.00_x000D_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</si>
  <si>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B0BGSWZM69</t>
  </si>
  <si>
    <t xml:space="preserve">_x000D_
_x000D_
_x000D_
_x000D_
_x000D_
_x000D_
_x000D_
_x000D_
_x000D_
_x000D_
_x000D_
Best Seller_x000D_
in Espresso &amp; Cappuccino Machines_x000D_
_x000D_
_x000D_
_x000D_
_x000D_
_x000D_
_x000D_
_x000D_
+6 other colours/patterns_x000D_
_x000D_
_x000D_
SponsoredSponsored _x000D_
_x000D_
You’re seeing this ad based on the product’s relevance to your search query._x000D_
Let us know  _x000D_
_x000D_
De'Longhi La Specialista Arte EC9155.GR, Barista Pump Espresso Machine, Bean to Cup Coffee and Cappuccino Maker, 8 Grinding Settings, MyLatte Art Frothing Wand, 1550W, Green_x000D_
 _x000D_
_x000D_
4.3_x000D_
4.3 out of 5 stars_x000D_
 (615)  _x000D_
_x000D_
_x000D_
Price, product page£396.99£396.99 RRP: £529.99_x000D_
RRP: £529.99£529.99_x000D_
_x000D_
_x000D_
_x000D_
_x000D_
_x000D_
_x000D_
_x000D_
_x000D_
FREE delivery Tue 10 Mar_x000D_
_x000D_
_x000D_
Or fastest delivery Mon 9 Mar_x000D_
_x000D_
_x000D_
_x000D_
_x000D_
_x000D_
_x000D_
_x000D_
_x000D_
_x000D_
_x000D_
_x000D_
_x000D_
_x000D_
_x000D_
Add to basket_x000D_
_x000D_
_x000D_
_x000D_
_x000D_
_x000D_
_x000D_
 </t>
  </si>
  <si>
    <t>B0CC4NVW32</t>
  </si>
  <si>
    <t xml:space="preserve">_x000D_
_x000D_
_x000D_
_x000D_
_x000D_
_x000D_
_x000D_
_x000D_
_x000D_
_x000D_
_x000D_
SponsoredSponsored _x000D_
_x000D_
You’re seeing this ad based on the product’s relevance to your search query._x000D_
Let us know  _x000D_
_x000D_
CASABREWS CM5418 Espresso Machine 20 Bar, Barista Espresso Maker with Steam Milk Frother, Stainless Steel Coffee Machine with 1L Removable Water Tank for Cappuccino, Latte, Silver_x000D_
 _x000D_
_x000D_
4.3_x000D_
4.3 out of 5 stars_x000D_
 (843)  _x000D_
100+ bought in past month_x000D_
_x000D_
_x000D_
_x000D_
Price, product page£129.99£129.99 RRP: £149.99_x000D_
RRP: £149.99£149.99_x000D_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</si>
  <si>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B0FX33V398</t>
  </si>
  <si>
    <t xml:space="preserve">_x000D_
_x000D_
_x000D_
_x000D_
_x000D_
_x000D_
_x000D_
_x000D_
_x000D_
_x000D_
_x000D_
SponsoredSponsored _x000D_
_x000D_
You’re seeing this ad based on the product’s relevance to your search query._x000D_
Let us know  _x000D_
_x000D_
Chefman CraftBrew Espresso Machine, 15-Bar Pump, Digital Touchscreen, Steam Wand for Latte &amp; Cappuccino, Compact Espresso Coffee Machine w/ 1.5L Removable Water Reservoir - Stainless Steel_x000D_
 _x000D_
_x000D_
4.3_x000D_
4.3 out of 5 stars_x000D_
 (98)  _x000D_
400+ bought in past month_x000D_
_x000D_
_x000D_
_x000D_
Price, product page£87.99£87.99_x000D_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</si>
  <si>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B0F6D3P6LR</t>
  </si>
  <si>
    <t xml:space="preserve">_x000D_
_x000D_
_x000D_
_x000D_
_x000D_
_x000D_
_x000D_
_x000D_
_x000D_
_x000D_
_x000D_
SponsoredSponsored _x000D_
_x000D_
You’re seeing this ad based on the product’s relevance to your search query._x000D_
Let us know  _x000D_
_x000D_
Krups Precision, Manual Espresso Machine With Grinder, Perfectly Crafted Espresso, Intuitive Interface, XP801TG0, Black/Stainless Steel_x000D_
 _x000D_
_x000D_
4.1_x000D_
4.1 out of 5 stars_x000D_
 (38)  _x000D_
_x000D_
_x000D_
Price, product page£299.98£299.98_x000D_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</si>
  <si>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B0FN7J3V1X</t>
  </si>
  <si>
    <t xml:space="preserve">_x000D_
_x000D_
_x000D_
_x000D_
_x000D_
_x000D_
_x000D_
_x000D_
_x000D_
_x000D_
_x000D_
SponsoredSponsored _x000D_
_x000D_
You’re seeing this ad based on the product’s relevance to your search query._x000D_
Let us know  _x000D_
_x000D_
Maestri House Espresso Machine, 20 Bar ULKA Pump, Compact Espresso Maker Built-in Flow Meter Steam Milk Frother, Stainless Steel Coffee Machine for Cappuccino, Latte (Black)_x000D_
 _x000D_
_x000D_
4.4_x000D_
4.4 out of 5 stars_x000D_
 (38)  _x000D_
30+ bought in past month_x000D_
_x000D_
_x000D_
_x000D_
Price, product page£129.99£129.99 RRP: £149.99_x000D_
RRP: £149.99£149.99_x000D_
_x000D_
_x000D_
Exclusive Prime price_x000D_
_x000D_
_x000D_
_x000D_
_x000D_
_x000D_
_x000D_
_x000D_
See options_x000D_
 </t>
  </si>
  <si>
    <t>B0G1JSY6K5</t>
  </si>
  <si>
    <t>_x000D_
_x000D_
_x000D_
_x000D_
_x000D_
_x000D_
_x000D_
_x000D_
_x000D_
2 in 1 Portable Electric Coffee Maker None Self-heating, 20-Bar Portable Espresso Maker Rechargable, Travel Coffee Maker for Car, Camping, Office, Compatible with Coffee Powder and Nespresso Capsule_x000D_
 _x000D_
_x000D_
4.2_x000D_
4.2 out of 5 stars_x000D_
 (25)  _x000D_
50+ bought in past month_x000D_
_x000D_
_x000D_
_x000D_
Price, product page£27.99£27.99 Was: £29.99_x000D_
Was: £29.99£29.99_x000D_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</si>
  <si>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B0FQQY3RXB</t>
  </si>
  <si>
    <t>_x000D_
_x000D_
_x000D_
_x000D_
_x000D_
_x000D_
_x000D_
_x000D_
_x000D_
2 in 1 Portable Electric Espresso Machine, Non Self-Heating Travel Coffee Maker for Camping, Car Coffee Maker with USB-C Rechargable, Compatible with Coffee Powder and Nespresso Capsule._x000D_
 _x000D_
_x000D_
4.3_x000D_
4.3 out of 5 stars_x000D_
 (19)  _x000D_
30+ bought in past month_x000D_
_x000D_
_x000D_
_x000D_
Price, product page£36.90£36.90_x000D_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</si>
  <si>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B0G4V15XSJ</t>
  </si>
  <si>
    <t>_x000D_
_x000D_
_x000D_
_x000D_
_x000D_
_x000D_
_x000D_
_x000D_
_x000D_
20 Bar Semi-Automatic Espresso Machine with Built-in Grinder &amp; Steam Wand, Pre-Infusion, NTC Temperature Control, 58mm Single/Double Portafilter, Removable Water Tank &amp; Drip Tray-Black Coffee Machine_x000D_
 _x000D_
_x000D_
5.0_x000D_
5.0 out of 5 stars_x000D_
 (1)  _x000D_
_x000D_
_x000D_
Price, product page£189.99£189.99_x000D_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</si>
  <si>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B0GPPKRRX7</t>
  </si>
  <si>
    <t>_x000D_
_x000D_
_x000D_
_x000D_
_x000D_
_x000D_
_x000D_
_x000D_
_x000D_
20Bar Professional Espresso Machine, 1450W Coffee Machine with Milk Frother, Compact Stainless Steel Coffee Machines with LED Screen for Cappuccino, Latte, 1.4L Water Tank_x000D_
 _x000D_
_x000D_
5.0_x000D_
5.0 out of 5 stars_x000D_
 (1)  _x000D_
New on Amazon in past month_x000D_
_x000D_
_x000D_
_x000D_
Price, product page£119.99£119.99_x000D_
_x000D_
_x000D_
7% off coupon applied_x000D_
Save 7%  with voucher_x000D_
 _x000D_
_x000D_
_x000D_
_x000D_
_x000D_
_x000D_
_x000D_
FREE delivery 16 - 24 Mar_x000D_
_x000D_
_x000D_
_x000D_
_x000D_
_x000D_
_x000D_
_x000D_
_x000D_
_x000D_
_x000D_
_x000D_
_x000D_
_x000D_
_x000D_
Add to basket</t>
  </si>
  <si>
    <t>B0FLPYZW2J</t>
  </si>
  <si>
    <t>_x000D_
_x000D_
_x000D_
_x000D_
_x000D_
_x000D_
_x000D_
_x000D_
_x000D_
3-In-1 Electric Portable Coffee Maker, 20 Bar Portable Espresso Maker, Portable Coffee Machine, Self-Heating, Compatible with Small &amp; Large Capsules, Ground Coffee, for Camping, Office, Home, Car_x000D_
 _x000D_
_x000D_
4.4_x000D_
4.4 out of 5 stars_x000D_
 (11)  _x000D_
_x000D_
_x000D_
Price, product page£36.99£36.99 RRP: £39.99_x000D_
RRP: £39.99£39.99_x000D_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</si>
  <si>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B0FG31392Q</t>
  </si>
  <si>
    <t>_x000D_
_x000D_
_x000D_
_x000D_
_x000D_
_x000D_
_x000D_
_x000D_
_x000D_
3-in-1 Portable Electric Espresso Machine, with LED Display, Self-Heating, USB-C, Electric Travel Coffee Maker, Compatible with Big&amp;Small Capsules/Ground Coffee, For Camping, RV, Office, Black_x000D_
 _x000D_
_x000D_
4.1_x000D_
4.1 out of 5 stars_x000D_
 (6)  _x000D_
_x000D_
_x000D_
Price, product page£39.99£39.99 RRP: £45.99_x000D_
RRP: £45.99£45.99_x000D_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</si>
  <si>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B0FG32DG1K</t>
  </si>
  <si>
    <t>_x000D_
_x000D_
_x000D_
_x000D_
_x000D_
_x000D_
_x000D_
_x000D_
_x000D_
3-in-1 Portable Electric Espresso Machine, with LED Display, Self-Heating, USB-C, Electric Travel Coffee Maker, Compatible with Big&amp;Small Capsules/Ground Coffee, For Camping, RV, Office, Gray_x000D_
 _x000D_
_x000D_
4.0_x000D_
4.0 out of 5 stars_x000D_
 (7)  _x000D_
_x000D_
_x000D_
Price, product page£39.99£39.99 RRP: £45.99_x000D_
RRP: £45.99£45.99_x000D_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</si>
  <si>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B0FG26Z1C7</t>
  </si>
  <si>
    <t>_x000D_
_x000D_
_x000D_
_x000D_
_x000D_
_x000D_
_x000D_
_x000D_
_x000D_
3-In-1 Portable Espresso Maker, 20 Bar Mini Travel Coffee Maker for Camping, Car Coffee Maker Self-Heating with USB, Compatible with Ground Coffee &amp; Capsule for Hiking, Office, RV(Black)_x000D_
 _x000D_
_x000D_
3.9_x000D_
3.9 out of 5 stars_x000D_
 (50)  _x000D_
20+ bought in past month_x000D_
_x000D_
_x000D_
_x000D_
Price, product page£39.99£39.99 RRP: £49.99_x000D_
RRP: £49.99£49.99_x000D_
_x000D_
_x000D_
Exclusive Prime price_x000D_
_x000D_
_x000D_
_x000D_
_x000D_
_x000D_
_x000D_
_x000D_
See options</t>
  </si>
  <si>
    <t>B0BG4GLT1N</t>
  </si>
  <si>
    <t>_x000D_
_x000D_
_x000D_
_x000D_
_x000D_
_x000D_
_x000D_
_x000D_
_x000D_
4 in 1 Espresso Single Serve Coffee Machine for Nespresso Original/Dolce Gusto/L’OR/Ground Capsule and ESE Coffee Pods,19Bar Multi-Capsule Coffee Machine AC-513K_x000D_
 _x000D_
_x000D_
4.1_x000D_
4.1 out of 5 stars_x000D_
 (2.8K)  _x000D_
_x000D_
_x000D_
Price, product page£89.88£89.88_x000D_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</si>
  <si>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B0FY3XTDLW</t>
  </si>
  <si>
    <t>_x000D_
_x000D_
_x000D_
_x000D_
_x000D_
_x000D_
_x000D_
_x000D_
_x000D_
4-in-1 Capsule Coffee Maker Compatible with Nespresso, Dolce Gusto, Pods &amp; Ground Coffee | 19 Bar Espresso Machine, 0.6L Tank, Fast Brew, Compact Design- Black_x000D_
 _x000D_
_x000D_
4.4_x000D_
4.4 out of 5 stars_x000D_
 (9)  _x000D_
_x000D_
_x000D_
Price, product page£59.95£59.95_x000D_
_x000D_
_x000D_
_x000D_
_x000D_
_x000D_
_x000D_
_x000D_
_x000D_
FREE delivery Mon 9 Mar_x000D_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t>
  </si>
  <si>
    <t>B0FR9KYZDH</t>
  </si>
  <si>
    <t>_x000D_
_x000D_
_x000D_
_x000D_
_x000D_
_x000D_
_x000D_
_x000D_
_x000D_
4-in-1 Portable Espresso Machine with Milk Frother, 20Bar for Small Large Capsules Ground Coffee, 9000mAh Self-Heating USB-C Rechargeable, Travel Coffee Maker for Camping Car Office_x000D_
 _x000D_
_x000D_
4.5_x000D_
4.5 out of 5 stars_x000D_
 (2)  _x000D_
_x000D_
_x000D_
Price, product page£84.99£84.99_x000D_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</si>
  <si>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B0G5Z4X4CS</t>
  </si>
  <si>
    <t>_x000D_
_x000D_
_x000D_
_x000D_
_x000D_
_x000D_
_x000D_
_x000D_
_x000D_
5 in 1 Espresso Single Serve Coffee Machine for Nespresso Original/Dolce Gusto/L’OR/Ground Capsule and ESE Coffee Pods,19Bar Multi-Capsule Coffee Machine ST-550 (ST-550-3)_x000D_
 _x000D_
_x000D_
_x000D_
Options:_x000D_
3 sizes3 sizes_x000D_
_x000D_
4.4_x000D_
4.4 out of 5 stars_x000D_
 (18)  _x000D_
_x000D_
_x000D_
Price, product page£169.00£169.00_x000D_
_x000D_
_x000D_
_x000D_
_x000D_
_x000D_
_x000D_
_x000D_
_x000D_
FREE delivery_x000D_
_x000D_
Temporarily out of stock._x000D_
_x000D_
_x000D_
_x000D_
_x000D_
_x000D_
_x000D_
_x000D_
_x000D_
_x000D_
_x000D_
_x000D_
_x000D_
_x000D_
_x000D_
Add to basket</t>
  </si>
  <si>
    <t>B0FQJZ3SW3</t>
  </si>
  <si>
    <t>_x000D_
_x000D_
_x000D_
_x000D_
_x000D_
_x000D_
_x000D_
_x000D_
_x000D_
6-in-1 Portable Electric Espresso Machine–20Bar Self‑Heating camping coffee maker with 7500mA Battery,Display,compatible with Large/Small Capsules&amp;Coffee Powder for Travel,Camping,Car&amp;Office_x000D_
 _x000D_
_x000D_
3.8_x000D_
3.8 out of 5 stars_x000D_
 (71)  _x000D_
_x000D_
_x000D_
Price, product page£41.30£41.30_x000D_
_x000D_
_x000D_
_x000D_
_x000D_
_x000D_
_x000D_
_x000D_
_x000D_
_x000D_
_x000D_
_x000D_
_x000D_
_x000D_
_x000D_
_x000D_
_x000D_
_x000D_
_x000D_
Add to basket</t>
  </si>
  <si>
    <t>B000GXZ2GS</t>
  </si>
  <si>
    <t>_x000D_
_x000D_
_x000D_
_x000D_
_x000D_
_x000D_
_x000D_
_x000D_
_x000D_
AeroPress Original Coffee and Espresso-style Maker, Barista Level Portable Coffee Maker with Chamber, Plunger, &amp; Filters, Quick Coffee and Espresso Maker_x000D_
 _x000D_
_x000D_
#1 Top-Rated_x000D_
_x000D_
4.7_x000D_
4.7 out of 5 stars_x000D_
 (20.6K)  _x000D_
1K+ bought in past month_x000D_
_x000D_
_x000D_
_x000D_
Price, product page£33.79£33.79_x000D_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£33.59(10 new offers)</t>
  </si>
  <si>
    <t>B0FHVGT3HY</t>
  </si>
  <si>
    <t>_x000D_
_x000D_
_x000D_
_x000D_
_x000D_
_x000D_
_x000D_
_x000D_
_x000D_
AIRMSEN Bean to Cup Coffee Machine - 20 Bar Espresso Machine with Grinder &amp; Milk Frother, 10 Grinding Settings, 1.8L Removable Water Tank for Home_x000D_
 _x000D_
_x000D_
4.2_x000D_
4.2 out of 5 stars_x000D_
 (166)  _x000D_
50+ bought in past month_x000D_
_x000D_
_x000D_
_x000D_
_x000D_
_x000D_
_x000D_
_x000D_
_x000D_
_x000D_
_x000D_
_x000D_
See options_x000D_
_x000D_
_x000D_
No featured offers available_x000D_
£269.99	(1 new offer)</t>
  </si>
  <si>
    <t>B0F93924JJ</t>
  </si>
  <si>
    <t>_x000D_
_x000D_
_x000D_
_x000D_
_x000D_
_x000D_
_x000D_
_x000D_
_x000D_
AMZCHEF Portable-Coffee-Maker-Travel, 2-IN-1 Camping Coffee Maker, Portable Espresso Machine 20 Bar, Self-Heating, USB-C, LCD Display, with Ground Coffee &amp; NS Capsule for RV, Hiking, Office_x000D_
 _x000D_
_x000D_
4.3_x000D_
4.3 out of 5 stars_x000D_
 (71)  _x000D_
20+ bought in past month_x000D_
_x000D_
_x000D_
_x000D_
Price, product page£99.99£99.99_x000D_
_x000D_
_x000D_
Buy £1.00, Save 20%_x000D_
_x000D_
_x000D_
_x000D_
_x000D_
_x000D_
_x000D_
_x000D_
FREE delivery Tue 10 Mar_x000D_
_x000D_
_x000D_
Or fastest delivery Tomorrow, 8 Mar_x000D_
_x000D_
_x000D_
_x000D_
_x000D_
_x000D_
_x000D_
_x000D_
 Recycled materials +2 more_x000D_
_x000D_
_x000D_
_x000D_
_x000D_
_x000D_
Sustainability features_x000D_
This product has sustainability features recognised by trusted certifications. _x000D_
_x000D_
_x000D_
_x000D_
Recycled materials_x000D_
_x000D_
_x000D_
_x000D_
Contains at least 50% recycled material._x000D_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Safer chemicals_x000D_
_x000D_
_x000D_
_x000D_
Made with chemicals safer for human health and the environment._x000D_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Worker well-being_x000D_
_x000D_
_x000D_
_x000D_
Manufactured on farms or in facilities that protect the rights and/or health of workers._x000D_
_x000D_
As certified by_x000D_
_x000D_
_x000D_
_x000D_
_x000D_
Global Recycled Standard_x000D_
Learn more about Global Recycled Standard_x000D_
_x000D_
_x000D_
_x000D_
_x000D_
_x000D_
_x000D_
_x000D_
Global Recycled Standard_x000D_
_x000D_
_x000D_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Friendly._x000D_
_x000D_
_x000D_
Certification body_x000D_
_x000D_
Intertek_x000D_
_x000D_
Certification number_x000D_
_x000D_
TE-00320036_x000D_
_x000D_
_x000D_
_x000D_
_x000D_
_x000D_
Discover more products with sustainability features. Learn more_x000D_
_x000D_
_x000D_
_x000D_
_x000D_
_x000D_
_x000D_
_x000D_
_x000D_
_x000D_
_x000D_
_x000D_
_x000D_
_x000D_
_x000D_
Add to basket</t>
  </si>
  <si>
    <t>B07X5D9NPZ</t>
  </si>
  <si>
    <t>_x000D_
_x000D_
_x000D_
_x000D_
_x000D_
_x000D_
_x000D_
_x000D_
_x000D_
Ariete 1313 Metal Bean to Cup Coffee Machine with Grinder &amp; Milk Frother, Espresso Coffee Maker for Barista Style Lattes Cappuccinos Americanos, Powder or Pods, Stainless Steel_x000D_
 _x000D_
_x000D_
3.5_x000D_
3.5 out of 5 stars_x000D_
 (582)  _x000D_
_x000D_
_x000D_
Price, product page£261.99£261.99 RRP: £357.99_x000D_
RRP: £357.99£357.99_x000D_
_x000D_
_x000D_
_x000D_
_x000D_
_x000D_
_x000D_
_x000D_
_x000D_
FREE delivery 10 - 11 Mar_x000D_
_x000D_
_x000D_
_x000D_
_x000D_
_x000D_
_x000D_
_x000D_
_x000D_
_x000D_
_x000D_
_x000D_
_x000D_
_x000D_
_x000D_
Add to basket</t>
  </si>
  <si>
    <t>B07XTY6Y1M</t>
  </si>
  <si>
    <t>_x000D_
_x000D_
_x000D_
_x000D_
_x000D_
_x000D_
_x000D_
_x000D_
_x000D_
AVANZA MYSTIC TITAN BLACK F27/0-100_x000D_
 _x000D_
_x000D_
4.1_x000D_
4.1 out of 5 stars_x000D_
 (756)  _x000D_
_x000D_
_x000D_
Price, product page£379.00£379.00_x000D_
_x000D_
_x000D_
_x000D_
_x000D_
_x000D_
_x000D_
_x000D_
_x000D_
FREE delivery Mon 9 Mar_x000D_
_x000D_
Only 2 left in stock._x000D_
_x000D_
_x000D_
_x000D_
_x000D_
_x000D_
_x000D_
_x000D_
_x000D_
_x000D_
_x000D_
_x000D_
_x000D_
_x000D_
_x000D_
Add to basket</t>
  </si>
  <si>
    <t>B0G8XX3BJV</t>
  </si>
  <si>
    <t>_x000D_
_x000D_
_x000D_
_x000D_
_x000D_
_x000D_
_x000D_
_x000D_
_x000D_
Bean to Cup Coffee Machine - Coffee Maker with Grinder and Milk Frother, 15 Bar Italian Pump - Barista Express with 2 Capacity Options for Espresso, Cappuccino &amp; Latte (18 Bar)_x000D_
 _x000D_
_x000D_
4.8_x000D_
4.8 out of 5 stars_x000D_
 (6)  _x000D_
50+ bought in past month_x000D_
_x000D_
_x000D_
_x000D_
Price, product page£269.99£269.99_x000D_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basket_x000D_
_x000D_
_x000D_
_x000D_
_x000D_
_x000D_
_x000D_
_x000D_
_x000D_
More buying choices_x000D_
£254.68(2 used &amp; new offers)</t>
  </si>
  <si>
    <t>B0CFFY94ML</t>
  </si>
  <si>
    <t>_x000D_
_x000D_
_x000D_
_x000D_
_x000D_
_x000D_
_x000D_
_x000D_
_x000D_
Beko CaffeExperto Bean to Cup Coffee Espresso Machine CEG7302B | Black | Colour Touch Screen Display | 2L Capacity |19 Bar Pressure | 2 Coffee Nozzles &amp; Milk Frother_x000D_
 _x000D_
_x000D_
4.0_x000D_
4.0 out of 5 stars_x000D_
 (272)  _x000D_
40+ bought in past month_x000D_
_x000D_
_x000D_
_x000D_
Price, product page£299.00£299.00 RRP: £449.99_x000D_
RRP: £449.99£449.99_x000D_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£173.58(7+ used &amp; new offers)</t>
  </si>
  <si>
    <t>B0CJFV13GJ</t>
  </si>
  <si>
    <t>_x000D_
_x000D_
_x000D_
_x000D_
_x000D_
_x000D_
_x000D_
_x000D_
_x000D_
Beko CaffeExpertoTM CEP5302B Manual Espresso machine | Colour Touch Display | Integrated Milk Frother | Dual Nozzle | 15 Bar pressure | Black | Easy cleaning_x000D_
 _x000D_
_x000D_
4.0_x000D_
4.0 out of 5 stars_x000D_
 (378)  _x000D_
30+ bought in past month_x000D_
_x000D_
_x000D_
_x000D_
Price, product page£119.99£119.99 RRP: £149.00_x000D_
RRP: £149.00£149.00_x000D_
_x000D_
_x000D_
£19.99 off coupon applied_x000D_
Save £19.99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£66.54(8 used &amp; new offers)</t>
  </si>
  <si>
    <t>B0FX42TWT6</t>
  </si>
  <si>
    <t>_x000D_
_x000D_
_x000D_
_x000D_
_x000D_
_x000D_
_x000D_
_x000D_
_x000D_
BELLA·BAYS Portable Espresso Maker, 3-in-1 Mini Coffee Machine, Self-Heating Travel Coffee Maker Compatible with Small and Large Capsules Camping for Camping, Hiking, Office &amp; Home Use (Grey)_x000D_
 _x000D_
_x000D_
4.2_x000D_
4.2 out of 5 stars_x000D_
 (7)  _x000D_
_x000D_
_x000D_
Price, product page£39.99£39.99_x000D_
_x000D_
_x000D_
13% off coupon applied_x000D_
Save 13%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</si>
  <si>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B0G2RVRYH2</t>
  </si>
  <si>
    <t>_x000D_
_x000D_
_x000D_
_x000D_
_x000D_
_x000D_
_x000D_
_x000D_
_x000D_
BENFUCHEN Update Portable Electric Espresso Machine, Travel Coffee Maker for Camping, Coffee Maker Self-Heating with USB-C, With Ground Coffee, NS &amp; DG Espresso Capsules for RV/Hiking/Office, Green_x000D_
 _x000D_
_x000D_
5.0_x000D_
5.0 out of 5 stars_x000D_
 (2)  _x000D_
_x000D_
_x000D_
Price, product page£45.99£45.99_x000D_
_x000D_
_x000D_
_x000D_
_x000D_
_x000D_
_x000D_
_x000D_
_x000D_
FREE delivery Tue 10 Mar_x000D_
_x000D_
_x000D_
Or fastest delivery Tomorrow, 8 Mar_x000D_
_x000D_
Only 4 left in stock._x000D_
_x000D_
_x000D_
_x000D_
_x000D_
_x000D_
_x000D_
_x000D_
_x000D_
_x000D_
_x000D_
_x000D_
_x000D_
_x000D_
_x000D_
Add to basket</t>
  </si>
  <si>
    <t>B0BWSDQ9WT</t>
  </si>
  <si>
    <t>_x000D_
_x000D_
_x000D_
_x000D_
_x000D_
_x000D_
_x000D_
_x000D_
_x000D_
Best Seller_x000D_
in Bean-to-Cup Coffee Machines_x000D_
_x000D_
_x000D_
_x000D_
_x000D_
_x000D_
_x000D_
_x000D_
_x000D_
_x000D_
_x000D_
_x000D_
_x000D_
_x000D_
_x000D_
_x000D_
_x000D_
_x000D_
_x000D_
_x000D_
_x000D_
_x000D_
_x000D_
_x000D_
_x000D_
_x000D_
_x000D_
De'Longhi Magnifica ECAM222.20.B, Automatic Coffee Machine with Milk Nozzle, Bean to Cup Espresso Machine with 4 One-Touch Recipes, Soft-Touch Control Panel, 1450W, Black_x000D_
 _x000D_
_x000D_
4.3_x000D_
4.3 out of 5 stars_x000D_
 (49.7K)  _x000D_
500+ bought in past month_x000D_
_x000D_
_x000D_
_x000D_
Price, product page£299.99£299.99 RRP: £319.99_x000D_
RRP: £319.99£319.99_x000D_
_x000D_
_x000D_
_x000D_
_x000D_
_x000D_
_x000D_
_x000D_
_x000D_
FREE delivery Wed 11 Mar_x000D_
_x000D_
_x000D_
Or fastest delivery Mon 9 Mar_x000D_
_x000D_
_x000D_
_x000D_
_x000D_
_x000D_
_x000D_
_x000D_
_x000D_
_x000D_
_x000D_
_x000D_
_x000D_
_x000D_
_x000D_
Add to basket_x000D_
_x000D_
_x000D_
_x000D_
_x000D_
_x000D_
_x000D_
_x000D_
_x000D_
More buying choices_x000D_
£207.69(2+ used &amp; new offers)</t>
  </si>
  <si>
    <t>B0CBCQD33T</t>
  </si>
  <si>
    <t>_x000D_
_x000D_
_x000D_
_x000D_
_x000D_
_x000D_
_x000D_
_x000D_
_x000D_
Best Seller_x000D_
in Coffee Machine Cleaning Tablets_x000D_
_x000D_
_x000D_
_x000D_
_x000D_
_x000D_
Sage Cleaning Tablets 2x8 (16) | By Cafetto: who make Sage Coffee Machine Cleaning Tablets and Cino Cleano Espresso Machine Cleaner | by Super Cal_x000D_
 _x000D_
_x000D_
Tablet_x000D_
_x000D_
_x000D_
_x000D_
Options:_x000D_
2 sizes2 sizes_x000D_
_x000D_
4.6_x000D_
4.6 out of 5 stars_x000D_
 (599)  _x000D_
2K+ bought in past month_x000D_
_x000D_
_x000D_
_x000D_
Price, product page£11.99£11.99 (£0.75£0.75/count)_x000D_
_x000D_
_x000D_
_x000D_
_x000D_
_x000D_
_x000D_
_x000D_
_x000D_
FREE delivery Tue 10 Mar on your first eligible order to UK or Ireland_x000D_
_x000D_
_x000D_
Or fastest delivery Tomorrow, 8 Mar_x000D_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t>
  </si>
  <si>
    <t>B09J8L46FP</t>
  </si>
  <si>
    <t>_x000D_
_x000D_
_x000D_
_x000D_
_x000D_
_x000D_
_x000D_
_x000D_
_x000D_
Best Seller_x000D_
in Espresso &amp; Cappuccino Machines_x000D_
_x000D_
_x000D_
_x000D_
_x000D_
_x000D_
_x000D_
_x000D_
_x000D_
_x000D_
_x000D_
_x000D_
_x000D_
_x000D_
_x000D_
_x000D_
_x000D_
_x000D_
_x000D_
_x000D_
_x000D_
_x000D_
_x000D_
_x000D_
_x000D_
_x000D_
+1_x000D_
_x000D_
_x000D_
De'Longhi La Specialista Metal Barista Pump Espresso Machine, Bean to Cup Coffee and Cappuccino Maker, EC9155.MB, 1450W, Silver_x000D_
 _x000D_
_x000D_
4.3_x000D_
4.3 out of 5 stars_x000D_
 (615)  _x000D_
50+ bought in past month_x000D_
_x000D_
_x000D_
_x000D_
Price, product page£350.00£350.00 RRP: £529.99_x000D_
RRP: £529.99£529.99_x000D_
_x000D_
_x000D_
_x000D_
_x000D_
_x000D_
_x000D_
_x000D_
_x000D_
FREE delivery_x000D_
_x000D_
_x000D_
_x000D_
_x000D_
_x000D_
_x000D_
_x000D_
_x000D_
_x000D_
_x000D_
_x000D_
_x000D_
_x000D_
_x000D_
Add to basket_x000D_
_x000D_
_x000D_
_x000D_
_x000D_
_x000D_
_x000D_
_x000D_
_x000D_
More buying choices_x000D_
£273.32(8+ used &amp; new offers)</t>
  </si>
  <si>
    <t>B0DK7NVBM8</t>
  </si>
  <si>
    <t>_x000D_
_x000D_
_x000D_
_x000D_
_x000D_
_x000D_
_x000D_
_x000D_
_x000D_
Best Seller_x000D_
in Single Serve Coffee Machines_x000D_
_x000D_
_x000D_
_x000D_
_x000D_
_x000D_
_x000D_
_x000D_
_x000D_
_x000D_
_x000D_
_x000D_
_x000D_
_x000D_
_x000D_
_x000D_
_x000D_
_x000D_
NESCAFÉ DOLCE GUSTO De'Longhi Piccolo XS Pod Capsule Coffee Machine, Espresso, Cappuccino and more, EDG210.WB, 0.8 litres, White and Black_x000D_
 _x000D_
_x000D_
4.4_x000D_
4.4 out of 5 stars_x000D_
 (13.3K)  _x000D_
300+ bought in past month_x000D_
_x000D_
_x000D_
_x000D_
_x000D_
_x000D_
_x000D_
_x000D_
_x000D_
_x000D_
_x000D_
_x000D_
See options_x000D_
_x000D_
_x000D_
No featured offers available_x000D_
£76.65(2 new offers)</t>
  </si>
  <si>
    <t>B0000AN3QH</t>
  </si>
  <si>
    <t>_x000D_
_x000D_
_x000D_
_x000D_
_x000D_
_x000D_
_x000D_
_x000D_
_x000D_
Best Seller_x000D_
in Stovetop Coffee Makers_x000D_
_x000D_
_x000D_
_x000D_
_x000D_
_x000D_
Bialetti Moka Express Aluminium Stovetop Coffee Maker, Silver, 1 Cup_x000D_
 _x000D_
_x000D_
_x000D_
Options:_x000D_
18 sizes18 sizes_x000D_
_x000D_
4.6_x000D_
4.6 out of 5 stars_x000D_
 (116.3K)  _x000D_
_x000D_
_x000D_
Price, product page£28.00£28.00_x000D_
_x000D_
_x000D_
Buy any 4, Save 5%_x000D_
_x000D_
_x000D_
_x000D_
_x000D_
_x000D_
_x000D_
_x000D_
FREE delivery Tue 10 Mar on your first eligible order to UK or Ireland_x000D_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basket_x000D_
_x000D_
_x000D_
_x000D_
_x000D_
_x000D_
_x000D_
_x000D_
_x000D_
More buying choices_x000D_
£13.00(25+ used &amp; new offers)_x000D_
_x000D_
_x000D_
_x000D_
_x000D_
Energy Efficiency Class: A</t>
  </si>
  <si>
    <t>B0DPG3RFMT</t>
  </si>
  <si>
    <t>_x000D_
_x000D_
_x000D_
_x000D_
_x000D_
_x000D_
_x000D_
_x000D_
_x000D_
Bialetti Gioia Plus Aluminium Capsule Espresso Machine with 48 Capsules, White_x000D_
 _x000D_
_x000D_
4.1_x000D_
4.1 out of 5 stars_x000D_
 (15)  _x000D_
_x000D_
_x000D_
_x000D_
_x000D_
_x000D_
_x000D_
_x000D_
_x000D_
_x000D_
_x000D_
See options_x000D_
_x000D_
_x000D_
No featured offers available_x000D_
£100.00(2 new offers)</t>
  </si>
  <si>
    <t>B0DPG56M2K</t>
  </si>
  <si>
    <t>_x000D_
_x000D_
_x000D_
_x000D_
_x000D_
_x000D_
_x000D_
_x000D_
_x000D_
Bialetti Gioia PLUS Espresso Coffee Machine for Aluminium Capsules, with 48 Capsules, Works Exclusively with Capsules, Red_x000D_
 _x000D_
_x000D_
4.2_x000D_
4.2 out of 5 stars_x000D_
 (31)  _x000D_
_x000D_
_x000D_
Price, product page£75.00£75.00_x000D_
_x000D_
_x000D_
_x000D_
_x000D_
_x000D_
_x000D_
_x000D_
_x000D_
£26.20 delivery 20 - 25 Mar_x000D_
_x000D_
Only 4 left in stock._x000D_
_x000D_
_x000D_
_x000D_
_x000D_
_x000D_
_x000D_
_x000D_
_x000D_
_x000D_
_x000D_
_x000D_
_x000D_
_x000D_
_x000D_
Add to basket</t>
  </si>
  <si>
    <t>B0F1YPNTZY</t>
  </si>
  <si>
    <t>_x000D_
_x000D_
_x000D_
_x000D_
_x000D_
_x000D_
_x000D_
_x000D_
_x000D_
Bialetti Ground Espresso – Intenso Roast, Compatible with Bean-to-Cup &amp; Espresso Machines, Rich Italian Flavor (6000g Pack)_x000D_
 _x000D_
_x000D_
Ground_x000D_
_x000D_
_x000D_
_x000D_
Options:_x000D_
5 sizes, 4 flavours5 sizes, 4 flavours_x000D_
_x000D_
4.3_x000D_
4.3 out of 5 stars_x000D_
 (209)  _x000D_
_x000D_
_x000D_
Price, product page£118.74£118.74_x000D_
_x000D_
_x000D_
_x000D_
_x000D_
_x000D_
_x000D_
_x000D_
_x000D_
FREE delivery Tue 10 Mar_x000D_
_x000D_
_x000D_
Or fastest delivery Tomorrow, 8 Mar_x000D_
_x000D_
Only 4 left in stock._x000D_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</si>
  <si>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B0DQVHPYCD</t>
  </si>
  <si>
    <t>_x000D_
_x000D_
_x000D_
_x000D_
_x000D_
_x000D_
_x000D_
_x000D_
_x000D_
Bosch Serie 2 TIG20119, Bean to Cup Coffee Machine, VeroCafe, with in-cup milk frother, removable water tank, easy select panel with 5 Beverage Options, Piano Black_x000D_
 _x000D_
_x000D_
4.1_x000D_
4.1 out of 5 stars_x000D_
 (45)  _x000D_
40+ bought in past month_x000D_
_x000D_
_x000D_
_x000D_
Price, product page£299.00£299.00 RRP: £499.00_x000D_
RRP: £499.00£499.00_x000D_
_x000D_
_x000D_
_x000D_
_x000D_
_x000D_
_x000D_
_x000D_
_x000D_
FREE delivery Tue 10 Mar_x000D_
_x000D_
_x000D_
Or fastest delivery Tomorrow, 8 Mar_x000D_
_x000D_
Only 12 left in stock (more on the way)._x000D_
_x000D_
_x000D_
_x000D_
_x000D_
_x000D_
_x000D_
_x000D_
_x000D_
_x000D_
_x000D_
_x000D_
_x000D_
_x000D_
_x000D_
Add to basket_x000D_
_x000D_
_x000D_
_x000D_
_x000D_
_x000D_
_x000D_
_x000D_
_x000D_
More buying choices_x000D_
£219.30(13 used &amp; new offers)</t>
  </si>
  <si>
    <t>B0B1JPPG2L</t>
  </si>
  <si>
    <t>_x000D_
_x000D_
_x000D_
_x000D_
_x000D_
_x000D_
_x000D_
_x000D_
_x000D_
Breville Bambino Espresso Machine, Stainless Steel, SES450BSS_x000D_
 _x000D_
_x000D_
4.2_x000D_
4.2 out of 5 stars_x000D_
 (2.1K)  _x000D_
_x000D_
_x000D_
Price, product page£566.86£566.86_x000D_
_x000D_
_x000D_
_x000D_
_x000D_
_x000D_
_x000D_
_x000D_
_x000D_
FREE delivery 20 - 23 Mar_x000D_
_x000D_
_x000D_
_x000D_
_x000D_
_x000D_
_x000D_
_x000D_
_x000D_
_x000D_
_x000D_
_x000D_
_x000D_
_x000D_
_x000D_
Add to basket</t>
  </si>
  <si>
    <t>B0BBYNPV33</t>
  </si>
  <si>
    <t>_x000D_
_x000D_
_x000D_
_x000D_
_x000D_
_x000D_
_x000D_
_x000D_
_x000D_
Breville Barista Express® Impress Espresso Machine Brushed Stainless Steel BES876BSS_x000D_
 _x000D_
_x000D_
4.4_x000D_
4.4 out of 5 stars_x000D_
 (955)  _x000D_
_x000D_
_x000D_
_x000D_
_x000D_
_x000D_
_x000D_
_x000D_
_x000D_
_x000D_
_x000D_
See options_x000D_
_x000D_
_x000D_
No featured offers available_x000D_
£1,412.74	(1 new offer)</t>
  </si>
  <si>
    <t>B08MXR7T7D</t>
  </si>
  <si>
    <t>_x000D_
_x000D_
_x000D_
_x000D_
_x000D_
_x000D_
_x000D_
_x000D_
_x000D_
Breville Barista Max Espresso Machine | Latte &amp; Cappuccino Coffee Maker with Integrated Bean Grinder &amp; Steam Wand | 2.8 L Water Tank | 15 Bar Italian Pump | Stainless Steel_x000D_
 _x000D_
_x000D_
4.2_x000D_
4.2 out of 5 stars_x000D_
 (827)  _x000D_
50+ bought in past month_x000D_
_x000D_
_x000D_
_x000D_
Price, product page£449.99£449.99 RRP: £461.99_x000D_
RRP: £461.99£461.99_x000D_
_x000D_
_x000D_
_x000D_
_x000D_
_x000D_
_x000D_
_x000D_
_x000D_
FREE delivery Thu 12 Mar_x000D_
_x000D_
_x000D_
_x000D_
_x000D_
_x000D_
_x000D_
_x000D_
_x000D_
_x000D_
_x000D_
_x000D_
_x000D_
_x000D_
_x000D_
Add to basket_x000D_
_x000D_
_x000D_
_x000D_
_x000D_
_x000D_
_x000D_
_x000D_
_x000D_
More buying choices_x000D_
£190.12(3+ used &amp; new offers)</t>
  </si>
  <si>
    <t>B0F32WDYSZ</t>
  </si>
  <si>
    <t>_x000D_
_x000D_
_x000D_
_x000D_
_x000D_
_x000D_
_x000D_
_x000D_
_x000D_
Breville Barista Sense Espresso Machine | Bean to Cup Coffee Maker with Integrated Coffee Grinder &amp; Milk Frother | TempSense Steam Wand | 15 Bar Italian Pump | Black [VCF187]_x000D_
 _x000D_
_x000D_
4.5_x000D_
4.5 out of 5 stars_x000D_
 (33)  _x000D_
_x000D_
_x000D_
Price, product page£599.99£599.99_x000D_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£273.08(2+ used &amp; new offers)</t>
  </si>
  <si>
    <t>B0F32VLHRK</t>
  </si>
  <si>
    <t>_x000D_
_x000D_
_x000D_
_x000D_
_x000D_
_x000D_
_x000D_
_x000D_
_x000D_
Breville Barista Slimline Espresso Machine | Integrated Milk Frother | Compact Coffee Maker for CappuccinosLattes &amp; More | 15 Bar Pump | Silver [VCF185]_x000D_
 _x000D_
_x000D_
4.3_x000D_
4.3 out of 5 stars_x000D_
 (208)  _x000D_
100+ bought in past month_x000D_
_x000D_
_x000D_
_x000D_
Price, product page£237.99£237.99_x000D_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£124.27(2+ used &amp; new offers)</t>
  </si>
  <si>
    <t>B07JVD78TT</t>
  </si>
  <si>
    <t>_x000D_
_x000D_
_x000D_
_x000D_
_x000D_
_x000D_
_x000D_
_x000D_
_x000D_
Breville BES500BSS1BUS1 The Bambino Plus Espresso Machine, One Size, Brushed Stainless Steel_x000D_
 _x000D_
_x000D_
4.1_x000D_
4.1 out of 5 stars_x000D_
 (2.3K)  _x000D_
_x000D_
_x000D_
Price, product page£694.87£694.87_x000D_
_x000D_
_x000D_
_x000D_
_x000D_
_x000D_
_x000D_
_x000D_
_x000D_
FREE delivery 11 - 12 Mar_x000D_
_x000D_
_x000D_
_x000D_
_x000D_
_x000D_
_x000D_
_x000D_
_x000D_
_x000D_
_x000D_
_x000D_
_x000D_
_x000D_
_x000D_
Add to basket</t>
  </si>
  <si>
    <t>B09C1PD3XS</t>
  </si>
  <si>
    <t>_x000D_
_x000D_
_x000D_
_x000D_
_x000D_
_x000D_
_x000D_
_x000D_
_x000D_
Breville Bijou Espresso Machine | Automatic and Manual Espresso, Cappuccino &amp; Latte Maker | 15 Bar Pump | Steam Wand | Silver [VCF149]_x000D_
 _x000D_
_x000D_
4.0_x000D_
4.0 out of 5 stars_x000D_
 (476)  _x000D_
_x000D_
_x000D_
Price, product page£98.85£98.85 Was: £138.92_x000D_
Was: £138.92£138.92_x000D_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£55.97(5 used &amp; new offers)</t>
  </si>
  <si>
    <t>B08BZL7FQR</t>
  </si>
  <si>
    <t>_x000D_
_x000D_
_x000D_
_x000D_
_x000D_
_x000D_
_x000D_
_x000D_
_x000D_
Breville One-Touch CoffeeHouse Coffee Machine | Espresso, Cappuccino &amp; Latte Maker | 19 Bar Italian Pump | Automatic Milk Frother | ESE Pod Compatible | Black [VCF107]_x000D_
 _x000D_
_x000D_
4.2_x000D_
4.2 out of 5 stars_x000D_
 (1.7K)  _x000D_
100+ bought in past month_x000D_
_x000D_
_x000D_
_x000D_
Price, product page£200.00£200.00 RRP: £225.99_x000D_
RRP: £225.99£225.99_x000D_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£98.87(4+ used &amp; new offers)</t>
  </si>
  <si>
    <t>B08W9V3V8M</t>
  </si>
  <si>
    <t>_x000D_
_x000D_
_x000D_
_x000D_
_x000D_
_x000D_
_x000D_
_x000D_
_x000D_
Brita Intenza Water Filter TZ70033A with Aroma Ring, Limescale Protection for Enhanced Coffee Flavour, Compatible with All Siemens Fully Automatic Espresso Machines, Pack of 3_x000D_
 _x000D_
_x000D_
4.7_x000D_
4.7 out of 5 stars_x000D_
 (12.5K)  _x000D_
200+ bought in past month_x000D_
_x000D_
_x000D_
_x000D_
Price, product page£23.50£23.50 (£7.83£7.83/count) RRP: £24.99_x000D_
RRP: £24.99£24.99_x000D_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£23.00(14 used &amp; new offers)</t>
  </si>
  <si>
    <t>B0C1BKD3RF</t>
  </si>
  <si>
    <t>_x000D_
_x000D_
_x000D_
_x000D_
_x000D_
_x000D_
_x000D_
_x000D_
_x000D_
CASABREWS 3700 Essential Espresso Machine 20 Bar, Stainless Steel Cappuccino &amp; Latte Machine with Steam Frother for Home, 1.3L Water Tank, Silver_x000D_
 _x000D_
_x000D_
4.2_x000D_
4.2 out of 5 stars_x000D_
 (509)  _x000D_
100+ bought in past month_x000D_
_x000D_
_x000D_
_x000D_
Price, product page£110.99£110.99 RRP: £144.99_x000D_
RRP: £144.99£144.99_x000D_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£108.77(2 used &amp; new offers)</t>
  </si>
  <si>
    <t>B0763N7WMP</t>
  </si>
  <si>
    <t>_x000D_
_x000D_
_x000D_
_x000D_
_x000D_
_x000D_
_x000D_
_x000D_
_x000D_
Cecotec Espresso Machine, Power Espresso 20 Manual. 850 W, 20 Bars Pressure, 1.5L Tank, Double Outlet Arm, Steam Wand, Cup Warmer Surface, Stainless Steel Finish_x000D_
 _x000D_
_x000D_
4.1_x000D_
4.1 out of 5 stars_x000D_
 (13.3K)  _x000D_
_x000D_
_x000D_
Price, product page£129.99£129.99_x000D_
_x000D_
_x000D_
_x000D_
_x000D_
_x000D_
_x000D_
_x000D_
_x000D_
FREE delivery 16 - 17 Mar_x000D_
_x000D_
_x000D_
_x000D_
_x000D_
_x000D_
_x000D_
_x000D_
_x000D_
_x000D_
_x000D_
_x000D_
_x000D_
_x000D_
_x000D_
Add to basket</t>
  </si>
  <si>
    <t>B0FHPS5LXC</t>
  </si>
  <si>
    <t>_x000D_
_x000D_
_x000D_
_x000D_
_x000D_
_x000D_
_x000D_
_x000D_
_x000D_
CERA+ Self-Heating Portable Espresso Machine,Up to 8 Cups per Charge &amp; 20 Bar, 3 * 4500mAh, CERApresso Works with NS Capsules &amp; Grounds, Electric Coffee Maker for Camping,Hiking,Office,Car,Travel_x000D_
 _x000D_
_x000D_
4.4_x000D_
4.4 out of 5 stars_x000D_
 (193)  _x000D_
20+ bought in past month_x000D_
_x000D_
_x000D_
_x000D_
Price, product page£129.99£129.99_x000D_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£127.00(2 new offers)</t>
  </si>
  <si>
    <t>B0FNRGP397</t>
  </si>
  <si>
    <t>_x000D_
_x000D_
_x000D_
_x000D_
_x000D_
_x000D_
_x000D_
_x000D_
_x000D_
CIARRA Mini Espresso Coffee Machine, 400W BloomBox Brewing Compact Coffee Maker to Go 15Bar Pump, Capsule-Free, Dust-Proof Spout, 180mL Water Tank, 3-Temp Settings, Brew Anywhere–CBPCM551-P_x000D_
 _x000D_
_x000D_
4.0_x000D_
4.0 out of 5 stars_x000D_
 (59)  _x000D_
_x000D_
_x000D_
Price, product page£79.99£79.99 Was: £89.99_x000D_
Was: £89.99£89.99_x000D_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</si>
  <si>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B0DSLW2T6D</t>
  </si>
  <si>
    <t>_x000D_
_x000D_
_x000D_
_x000D_
_x000D_
_x000D_
_x000D_
_x000D_
_x000D_
Coffee Machine Cleaning Tablets (8) by Cafetto Australia | Compatible with home coffee machines | Espresso Machine Cleaning Tablets - Safe for your machine and you_x000D_
 _x000D_
_x000D_
Tablet_x000D_
_x000D_
_x000D_
4.7_x000D_
4.7 out of 5 stars_x000D_
 (164)  _x000D_
800+ bought in past month_x000D_
_x000D_
_x000D_
_x000D_
Price, product page£7.99£7.99 (£1.00£1.00/count)_x000D_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</si>
  <si>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B0F6MZZ2QL</t>
  </si>
  <si>
    <t>_x000D_
_x000D_
_x000D_
_x000D_
_x000D_
_x000D_
_x000D_
_x000D_
_x000D_
CONQUECO Portable Espresso Machine Travel: 12V Electric Coffee Maker with Battery for Camping - 2.5 Mins Self Heating - With Ground Coffee &amp; NS Capsule for RV, Hiking, Office_x000D_
 _x000D_
_x000D_
4.5_x000D_
4.5 out of 5 stars_x000D_
 (31)  _x000D_
_x000D_
_x000D_
Price, product page£129.99£129.99_x000D_
_x000D_
_x000D_
_x000D_
_x000D_
_x000D_
_x000D_
_x000D_
_x000D_
FREE delivery Tue 10 Mar_x000D_
_x000D_
Only 3 left in stock._x000D_
_x000D_
_x000D_
_x000D_
_x000D_
_x000D_
_x000D_
_x000D_
_x000D_
_x000D_
_x000D_
_x000D_
_x000D_
_x000D_
_x000D_
Add to basket</t>
  </si>
  <si>
    <t>B0FX4TC1H6</t>
  </si>
  <si>
    <t>_x000D_
_x000D_
_x000D_
_x000D_
_x000D_
_x000D_
_x000D_
_x000D_
_x000D_
Cooks Professional 20 Bar Espresso Coffee Machine with Steam Wand, 1L Water Tank &amp; Stainless-Steel Drip Tray | Compact &amp; Stylish Barista-Style Coffee Cappuccino Latte Macchiato Maker | 1350W | Black_x000D_
 _x000D_
_x000D_
3.7_x000D_
3.7 out of 5 stars_x000D_
 (34)  _x000D_
_x000D_
_x000D_
Price, product page£129.99£129.99_x000D_
_x000D_
_x000D_
_x000D_
_x000D_
_x000D_
_x000D_
_x000D_
_x000D_
FREE delivery Wed 11 Mar_x000D_
_x000D_
_x000D_
_x000D_
_x000D_
_x000D_
_x000D_
_x000D_
_x000D_
_x000D_
_x000D_
_x000D_
_x000D_
_x000D_
_x000D_
Add to basket</t>
  </si>
  <si>
    <t>B0FZLXWPTQ</t>
  </si>
  <si>
    <t>_x000D_
_x000D_
_x000D_
_x000D_
_x000D_
_x000D_
_x000D_
_x000D_
_x000D_
Cooks Professional Bean-To-Cup Espresso Machine | 20-Bar Italian Pump Barista Style Coffee Maker with Integrated Grinder, Steam Wand, 2.6L Water Tank, Portafilter, Tamper &amp; Milk Jug | Silver_x000D_
 _x000D_
_x000D_
4.8_x000D_
4.8 out of 5 stars_x000D_
 (9)  _x000D_
_x000D_
_x000D_
Price, product page£379.99£379.99_x000D_
_x000D_
_x000D_
_x000D_
_x000D_
_x000D_
_x000D_
_x000D_
_x000D_
FREE delivery Tue 10 Mar_x000D_
_x000D_
_x000D_
Or fastest delivery Tomorrow, 8 Mar_x000D_
_x000D_
Only 6 left in stock._x000D_
_x000D_
_x000D_
_x000D_
_x000D_
_x000D_
_x000D_
_x000D_
_x000D_
_x000D_
_x000D_
_x000D_
_x000D_
_x000D_
_x000D_
Add to basket</t>
  </si>
  <si>
    <t>B0FYFT5FF9</t>
  </si>
  <si>
    <t>_x000D_
_x000D_
_x000D_
_x000D_
_x000D_
_x000D_
_x000D_
_x000D_
_x000D_
COSTWAY 20 Bar Espresso Coffee Machine, 1200W Compact Coffee Maker with Milk Frother, Touch Screen &amp; 1.8 L Removable Water Tank, Stainless Steel Espresso Maker for Cappuccino, Latte, Ground Coffee_x000D_
 _x000D_
_x000D_
3.5_x000D_
3.5 out of 5 stars_x000D_
 (5)  _x000D_
_x000D_
_x000D_
Price, product page£89.95£89.95_x000D_
_x000D_
_x000D_
_x000D_
_x000D_
_x000D_
_x000D_
_x000D_
_x000D_
FREE delivery Mon 9 Mar_x000D_
_x000D_
Only 6 left in stock._x000D_
_x000D_
_x000D_
_x000D_
_x000D_
_x000D_
_x000D_
_x000D_
_x000D_
_x000D_
_x000D_
_x000D_
_x000D_
_x000D_
_x000D_
Add to basket</t>
  </si>
  <si>
    <t>B0FY6SNXQS</t>
  </si>
  <si>
    <t>_x000D_
_x000D_
_x000D_
_x000D_
_x000D_
_x000D_
_x000D_
_x000D_
_x000D_
COSTWAY 20Bar Espresso Coffee Machine, 1200W Compact Coffee Maker with Milk Frother, Touch Screen &amp; 1.7 L Removable Water Tank, Stainless Steel Espresso Maker for Cappuccino, Latte, Ground Coffee_x000D_
 _x000D_
_x000D_
4.0_x000D_
4.0 out of 5 stars_x000D_
 (10)  _x000D_
_x000D_
_x000D_
_x000D_
_x000D_
_x000D_
_x000D_
_x000D_
_x000D_
_x000D_
_x000D_
See options_x000D_
_x000D_
_x000D_
No featured offers available_x000D_
£102.95	(1 new offer)</t>
  </si>
  <si>
    <t>B0G82V2L4D</t>
  </si>
  <si>
    <t>_x000D_
_x000D_
_x000D_
_x000D_
_x000D_
_x000D_
_x000D_
_x000D_
_x000D_
Cuisinart Espresso &amp; Coffee Conical Burr Grinder | 35 Grind Settings | Anti-Static Technology | 225g Bean Hopper with Silicone-Sealed Lid | Portafilter Compatible | Cup Selector 1–14 Cups_x000D_
 _x000D_
_x000D_
4.2_x000D_
4.2 out of 5 stars_x000D_
 (587)  _x000D_
_x000D_
_x000D_
Price, product page£79.99£79.99 RRP: £99.99_x000D_
RRP: £99.99£99.99_x000D_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</si>
  <si>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B0FR9VPBD5</t>
  </si>
  <si>
    <t>_x000D_
_x000D_
_x000D_
_x000D_
_x000D_
_x000D_
_x000D_
_x000D_
_x000D_
Cuisinart® Slim Espresso Machine | Espresso, Americano, Cold Brew | Integrated milk frother for Lattes and Cappuccino | 15-Bar Pressure, Bottomless Portafilter |Compact Design, Travel Mug Compatible_x000D_
 _x000D_
_x000D_
4.0_x000D_
4.0 out of 5 stars_x000D_
 (69)  _x000D_
_x000D_
_x000D_
Price, product page£178.95£178.95_x000D_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basket_x000D_
_x000D_
_x000D_
_x000D_
_x000D_
_x000D_
_x000D_
_x000D_
_x000D_
More buying choices_x000D_
£178.94(4 new offers)</t>
  </si>
  <si>
    <t>B0FCF8FLJS</t>
  </si>
  <si>
    <t>_x000D_
_x000D_
_x000D_
_x000D_
_x000D_
_x000D_
_x000D_
_x000D_
_x000D_
CUSIMAX Coffee Machine for Nespresso Original Pods with Capsule Bin Coffee Maker, Compact Espresso Machine with 3 Coffee Programmes, 19Bar High Pressure, 0.8L, Fast Heat-Up, Energy Saving_x000D_
 _x000D_
_x000D_
3.9_x000D_
3.9 out of 5 stars_x000D_
 (8)  _x000D_
40+ bought in past month_x000D_
_x000D_
_x000D_
_x000D_
Price, product page£99.98£99.98_x000D_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</si>
  <si>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B0D66PDWGZ</t>
  </si>
  <si>
    <t>_x000D_
_x000D_
_x000D_
_x000D_
_x000D_
_x000D_
_x000D_
_x000D_
_x000D_
Daewoo 20bar Espresso Coffee Maker With Steam Wand, Barista Quality Coffee, For Ground Coffee_x000D_
 _x000D_
_x000D_
3.8_x000D_
3.8 out of 5 stars_x000D_
 (99)  _x000D_
40+ bought in past month_x000D_
_x000D_
_x000D_
_x000D_
Price, product page£63.71£63.71 RRP: £79.99_x000D_
RRP: £79.99£79.99_x000D_
_x000D_
_x000D_
_x000D_
_x000D_
_x000D_
_x000D_
_x000D_
_x000D_
FREE delivery Tue 10 Mar_x000D_
_x000D_
_x000D_
Or fastest delivery Tomorrow, 8 Mar_x000D_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basket_x000D_
_x000D_
_x000D_
_x000D_
_x000D_
_x000D_
_x000D_
_x000D_
_x000D_
More buying choices_x000D_
£55.72(4+ used &amp; new offers)</t>
  </si>
  <si>
    <t>B0D678M6MQ</t>
  </si>
  <si>
    <t>_x000D_
_x000D_
_x000D_
_x000D_
_x000D_
_x000D_
_x000D_
_x000D_
_x000D_
Daewoo Compact Espresso Coffee Machine, Digital, 20Bar Pressure, Professional Look With Steam Wand, Barista Quality Coffee Made At Home With Ground Coffee, 1.2 Litre Water Tank, Accessories Included_x000D_
 _x000D_
_x000D_
4.1_x000D_
4.1 out of 5 stars_x000D_
 (78)  _x000D_
_x000D_
_x000D_
_x000D_
_x000D_
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See options_x000D_
_x000D_
_x000D_
No featured offers available_x000D_
£96.32(3 used &amp; new offers)</t>
  </si>
  <si>
    <t>B0DWFVBL9V</t>
  </si>
  <si>
    <t>_x000D_
_x000D_
_x000D_
_x000D_
_x000D_
_x000D_
_x000D_
_x000D_
_x000D_
De’Longhi Dedica Duo EC890.GR Barista Coffee Machine with Pump, Espresso and Cold Brew, Manual Machine with Latte Art Steam Wand, 15 cm Wide, 2 Espressos, Touchscreen, Cups up to 13 cm, Green_x000D_
 _x000D_
_x000D_
3.7_x000D_
3.7 out of 5 stars_x000D_
 (30)  _x000D_
_x000D_
_x000D_
Price, product page£299.00£299.00_x000D_
_x000D_
_x000D_
_x000D_
_x000D_
_x000D_
_x000D_
_x000D_
_x000D_
FREE delivery Wed 11 Mar_x000D_
_x000D_
Only 10 left in stock._x000D_
_x000D_
_x000D_
_x000D_
_x000D_
_x000D_
_x000D_
_x000D_
_x000D_
_x000D_
_x000D_
_x000D_
_x000D_
_x000D_
_x000D_
Add to basket</t>
  </si>
  <si>
    <t>B0B8DXDZM4</t>
  </si>
  <si>
    <t>_x000D_
_x000D_
_x000D_
_x000D_
_x000D_
_x000D_
_x000D_
_x000D_
_x000D_
De'Longhi Dedica Arte EC885.​BG, Traditional Barista Pump Espresso Machine, Manual Coffee Machine, My LatteArt Steam Wand, Compact Design 15cm Wide, Fit Mug Up to 13cm, Beige_x000D_
 _x000D_
_x000D_
4.2_x000D_
4.2 out of 5 stars_x000D_
 (556)  _x000D_
_x000D_
_x000D_
Price, product page£219.73£219.73_x000D_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£184.23(9+ used &amp; new offers)</t>
  </si>
  <si>
    <t>B0B8DTVKPV</t>
  </si>
  <si>
    <t>_x000D_
_x000D_
_x000D_
_x000D_
_x000D_
_x000D_
_x000D_
_x000D_
_x000D_
De'Longhi Dedica Arte EC885.​GY, Traditional Barista Pump Espresso Machine, Manual Coffee Machine, My LatteArt Steam Wand, Compact Design 15cm Wide, Fit Mug Up to 13cm, Grey_x000D_
 _x000D_
_x000D_
4.2_x000D_
4.2 out of 5 stars_x000D_
 (488)  _x000D_
_x000D_
_x000D_
Price, product page£218.98£218.98_x000D_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£189.99(6 used &amp; new offers)</t>
  </si>
  <si>
    <t>B0CQP1H826</t>
  </si>
  <si>
    <t>_x000D_
_x000D_
_x000D_
_x000D_
_x000D_
_x000D_
_x000D_
_x000D_
_x000D_
De'Longhi Dedica Arte EC885.M, Traditional Barista Pump Espresso Machine, Manual Coffee Machine with My LatteArt Steam Wand, Compact Design 15cm Wide, Fit Mug Up to 13cm, Metal_x000D_
 _x000D_
_x000D_
4.7_x000D_
4.7 out of 5 stars_x000D_
 (13)  _x000D_
_x000D_
_x000D_
Price, product page£217.00£217.00 RRP: £249.99_x000D_
RRP: £249.99£249.99_x000D_
_x000D_
_x000D_
_x000D_
_x000D_
_x000D_
_x000D_
_x000D_
_x000D_
FREE delivery Wed 11 Mar_x000D_
_x000D_
Only 9 left in stock._x000D_
_x000D_
_x000D_
_x000D_
_x000D_
_x000D_
_x000D_
_x000D_
_x000D_
_x000D_
_x000D_
_x000D_
_x000D_
_x000D_
_x000D_
Add to basket_x000D_
_x000D_
_x000D_
_x000D_
_x000D_
_x000D_
_x000D_
_x000D_
_x000D_
More buying choices_x000D_
£113.43(7+ used &amp; new offers)</t>
  </si>
  <si>
    <t>B0CWRZG9F6</t>
  </si>
  <si>
    <t>_x000D_
_x000D_
_x000D_
_x000D_
_x000D_
_x000D_
_x000D_
_x000D_
_x000D_
De'Longhi Dedica Maestro Plus EC950.M, Compact Coffee Machine with Automatic Steam Wand, Barista Pump Espresso Machine, Auto Latte Art Technology, Coffee and Cappuccino Maker, 1450W, Grey_x000D_
 _x000D_
_x000D_
3.8_x000D_
3.8 out of 5 stars_x000D_
 (17)  _x000D_
_x000D_
_x000D_
Price, product page£269.00£269.00 RRP: £359.99_x000D_
RRP: £359.99£359.99_x000D_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£185.19(4 used &amp; new offers)</t>
  </si>
  <si>
    <t>B06X3Z9MF3</t>
  </si>
  <si>
    <t>_x000D_
_x000D_
_x000D_
_x000D_
_x000D_
_x000D_
_x000D_
_x000D_
_x000D_
De'Longhi Dedica Style, Traditional Barista Pump Espresso Machine, Coffee and Cappuccino Maker, EC685BK, Black_x000D_
 _x000D_
_x000D_
4.2_x000D_
4.2 out of 5 stars_x000D_
 (40.2K)  _x000D_
200+ bought in past month_x000D_
_x000D_
_x000D_
_x000D_
Price, product page£179.99£179.99 RRP: £229.00_x000D_
RRP: £229.00£229.00_x000D_
_x000D_
_x000D_
_x000D_
_x000D_
_x000D_
_x000D_
_x000D_
_x000D_
FREE delivery Tue 10 Mar_x000D_
_x000D_
_x000D_
_x000D_
_x000D_
_x000D_
_x000D_
_x000D_
_x000D_
_x000D_
_x000D_
_x000D_
_x000D_
_x000D_
_x000D_
Add to basket</t>
  </si>
  <si>
    <t>B08DGPKTNX</t>
  </si>
  <si>
    <t>_x000D_
_x000D_
_x000D_
_x000D_
_x000D_
_x000D_
_x000D_
_x000D_
_x000D_
De'Longhi Dedica Style, Traditional Barista Pump Espresso Machine, Silver, Starter Pack_x000D_
 _x000D_
_x000D_
4.5_x000D_
4.5 out of 5 stars_x000D_
 (9)  _x000D_
_x000D_
_x000D_
Price, product page£209.55£209.55 Recommended: £229.12_x000D_
Recommended: £229.12£229.12_x000D_
_x000D_
_x000D_
_x000D_
_x000D_
_x000D_
_x000D_
_x000D_
_x000D_
Delivery Tomorrow, 8 Mar_x000D_
_x000D_
_x000D_
_x000D_
_x000D_
_x000D_
_x000D_
_x000D_
_x000D_
_x000D_
_x000D_
_x000D_
_x000D_
_x000D_
_x000D_
Add to basket</t>
  </si>
  <si>
    <t>B06WGTZ874</t>
  </si>
  <si>
    <t>_x000D_
_x000D_
_x000D_
_x000D_
_x000D_
_x000D_
_x000D_
_x000D_
_x000D_
De'Longhi Dedica Style, Traditional Pump Espresso Machine, Coffee and Cappuccino Maker, EC685M, Silver_x000D_
 _x000D_
_x000D_
4.2_x000D_
4.2 out of 5 stars_x000D_
 (40.2K)  _x000D_
200+ bought in past month_x000D_
_x000D_
_x000D_
_x000D_
Price, product page£164.67£164.67 RRP: £179.99_x000D_
RRP: £179.99£179.99_x000D_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Energy Efficiency Class: B</t>
  </si>
  <si>
    <t>B09VLBFYQK</t>
  </si>
  <si>
    <t>_x000D_
_x000D_
_x000D_
_x000D_
_x000D_
_x000D_
_x000D_
_x000D_
_x000D_
DELONGHI ECAM290.22.B - Magnifica Evo Espresso Crusher Coffee Machine - 1450 W - 3 Grams - 1.8 L - 250 g Beans_x000D_
 _x000D_
_x000D_
5.0_x000D_
5.0 out of 5 stars_x000D_
 (2)  _x000D_
_x000D_
_x000D_
Price, product page£417.47£417.47_x000D_
_x000D_
_x000D_
_x000D_
_x000D_
_x000D_
_x000D_
_x000D_
_x000D_
FREE delivery 12 - 13 Mar_x000D_
_x000D_
_x000D_
_x000D_
_x000D_
_x000D_
_x000D_
_x000D_
_x000D_
_x000D_
_x000D_
_x000D_
_x000D_
_x000D_
_x000D_
Add to basket</t>
  </si>
  <si>
    <t>B00T0HSAGA</t>
  </si>
  <si>
    <t>_x000D_
_x000D_
_x000D_
_x000D_
_x000D_
_x000D_
_x000D_
_x000D_
_x000D_
DeLonghi ECOV 311.BK Icona Vintage espresso coffee machine black_x000D_
 _x000D_
_x000D_
4.0_x000D_
4.0 out of 5 stars_x000D_
 (736)  _x000D_
_x000D_
_x000D_
Price, product page£247.90£247.90_x000D_
_x000D_
_x000D_
_x000D_
_x000D_
_x000D_
_x000D_
_x000D_
_x000D_
£13.99 delivery 17 - 19 Mar_x000D_
_x000D_
Only 3 left in stock._x000D_
_x000D_
_x000D_
_x000D_
_x000D_
_x000D_
_x000D_
_x000D_
_x000D_
_x000D_
_x000D_
_x000D_
_x000D_
_x000D_
_x000D_
Add to basket_x000D_
_x000D_
_x000D_
_x000D_
_x000D_
_x000D_
_x000D_
_x000D_
_x000D_
More buying choices_x000D_
£219.00(3 used &amp; new offers)</t>
  </si>
  <si>
    <t>B013GDE0SU</t>
  </si>
  <si>
    <t>_x000D_
_x000D_
_x000D_
_x000D_
_x000D_
_x000D_
_x000D_
_x000D_
_x000D_
De'Longhi ECP35.31Traditional Barista Pump Espresso Machine, Coffee and Cappuccino Maker, Black_x000D_
 _x000D_
_x000D_
4.1_x000D_
4.1 out of 5 stars_x000D_
 (1.8K)  _x000D_
30+ bought in past month_x000D_
_x000D_
_x000D_
_x000D_
Price, product page£147.42£147.42 RRP: £209.99_x000D_
RRP: £209.99£209.99_x000D_
_x000D_
_x000D_
_x000D_
_x000D_
_x000D_
_x000D_
_x000D_
_x000D_
FREE delivery Tue 10 Mar_x000D_
_x000D_
_x000D_
Or fastest delivery Tomorrow, 8 Mar_x000D_
_x000D_
Only 7 left in stock._x000D_
_x000D_
_x000D_
_x000D_
_x000D_
_x000D_
_x000D_
_x000D_
_x000D_
_x000D_
_x000D_
_x000D_
_x000D_
_x000D_
_x000D_
Add to basket_x000D_
_x000D_
_x000D_
_x000D_
_x000D_
_x000D_
_x000D_
_x000D_
_x000D_
More buying choices_x000D_
£69.19(11+ used &amp; new offers)</t>
  </si>
  <si>
    <t>B00TDKM2XG</t>
  </si>
  <si>
    <t>_x000D_
_x000D_
_x000D_
_x000D_
_x000D_
_x000D_
_x000D_
_x000D_
_x000D_
Delonghi Icona ECO311.R Pump Espresso Coffee Maker Red_x000D_
 _x000D_
_x000D_
4.0_x000D_
4.0 out of 5 stars_x000D_
 (1.3K)  _x000D_
_x000D_
_x000D_
Price, product page£205.00£205.00_x000D_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basket_x000D_
_x000D_
_x000D_
_x000D_
_x000D_
_x000D_
_x000D_
_x000D_
_x000D_
More buying choices_x000D_
£185.00(2 new offers)</t>
  </si>
  <si>
    <t>B07PP9LJ5M</t>
  </si>
  <si>
    <t>_x000D_
_x000D_
_x000D_
_x000D_
_x000D_
_x000D_
_x000D_
_x000D_
_x000D_
De'Longhi Magnifica S, Automatic Bean to Cup Coffee Machine, Espresso and Cappuccino Maker, ECAM22.110.B, Black &amp; EcoDecalk Mini 2 x 100ml Descaler (Pack of 1)-White_x000D_
 _x000D_
_x000D_
4.5_x000D_
4.5 out of 5 stars_x000D_
 (78)  _x000D_
_x000D_
_x000D_
Price, product page£305.13£305.13 Recommended: £356.99_x000D_
Recommended: £356.99£356.99_x000D_
_x000D_
_x000D_
_x000D_
_x000D_
_x000D_
_x000D_
_x000D_
_x000D_
Delivery Tomorrow, 8 Mar_x000D_
_x000D_
_x000D_
_x000D_
_x000D_
_x000D_
_x000D_
_x000D_
_x000D_
_x000D_
_x000D_
_x000D_
_x000D_
_x000D_
_x000D_
Add to basket</t>
  </si>
  <si>
    <t>B08KZZJ94V</t>
  </si>
  <si>
    <t>_x000D_
_x000D_
_x000D_
_x000D_
_x000D_
_x000D_
_x000D_
_x000D_
_x000D_
De'Longhi Nescafé Dolce Gusto Genio S Plus EDG315.R, Automatic Coffee Machine, Capsule Coffee Machine, Espresso Boost, Cappuccino, Energy Saving Auto Shut-Off, 15 Bar Pressure, Red_x000D_
 _x000D_
_x000D_
4.4_x000D_
4.4 out of 5 stars_x000D_
 (1K)  _x000D_
_x000D_
_x000D_
Price, product page£124.99£124.99_x000D_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t>
  </si>
  <si>
    <t>B08KWJVWSW</t>
  </si>
  <si>
    <t>_x000D_
_x000D_
_x000D_
_x000D_
_x000D_
_x000D_
_x000D_
_x000D_
_x000D_
De'Longhi Primadonna Soul, Fully Automatic Bean to Cup, Espresso an Cappuccino Coffee Maker, ECAM610.75.mb, 2.2 liters, Black and Silver_x000D_
 _x000D_
_x000D_
4.2_x000D_
4.2 out of 5 stars_x000D_
 (215)  _x000D_
40+ bought in past month_x000D_
_x000D_
_x000D_
_x000D_
Price, product page£799.00£799.00 RRP: £1,379.99_x000D_
RRP: £1,379.99£1,379.99_x000D_
_x000D_
_x000D_
_x000D_
_x000D_
_x000D_
_x000D_
_x000D_
_x000D_
FREE delivery_x000D_
_x000D_
_x000D_
_x000D_
_x000D_
_x000D_
_x000D_
_x000D_
_x000D_
_x000D_
_x000D_
_x000D_
_x000D_
_x000D_
_x000D_
Add to basket</t>
  </si>
  <si>
    <t>B085J8LV4F</t>
  </si>
  <si>
    <t>_x000D_
_x000D_
_x000D_
_x000D_
_x000D_
_x000D_
_x000D_
_x000D_
_x000D_
De'Longhi Stilosa EC230.BK, Traditional Barista Pump Espresso Machine, Espresso and Cappuccino, 2 cups, Black_x000D_
 _x000D_
_x000D_
3.8_x000D_
3.8 out of 5 stars_x000D_
 (660)  _x000D_
100+ bought in past month_x000D_
_x000D_
_x000D_
_x000D_
Price, product page£99.67£99.67 RRP: £104.99_x000D_
RRP: £104.99£104.99_x000D_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£74.49(4+ used &amp; new offers)</t>
  </si>
  <si>
    <t>B08C96BG9H</t>
  </si>
  <si>
    <t>_x000D_
_x000D_
_x000D_
_x000D_
_x000D_
_x000D_
_x000D_
_x000D_
_x000D_
De'Longhi Stilosa Manual Espresso Machine, Latte &amp; Cappuccino Maker, 15 Bar Pump Pressure + Milk Frother Steam Wand, Black/Stainless, EC260BK, 13.5 x 8.07 x 11.22 inches_x000D_
 _x000D_
_x000D_
4.2_x000D_
4.2 out of 5 stars_x000D_
 (13K)  _x000D_
_x000D_
_x000D_
Price, product page£137.29£137.29_x000D_
_x000D_
_x000D_
_x000D_
_x000D_
_x000D_
_x000D_
_x000D_
_x000D_
FREE delivery Thu 12 Mar_x000D_
_x000D_
_x000D_
Or fastest delivery Wed 11 Mar_x000D_
_x000D_
Only 2 left in stock._x000D_
_x000D_
_x000D_
_x000D_
_x000D_
_x000D_
_x000D_
_x000D_
_x000D_
_x000D_
_x000D_
_x000D_
_x000D_
_x000D_
_x000D_
Add to basket_x000D_
_x000D_
_x000D_
_x000D_
_x000D_
_x000D_
_x000D_
_x000D_
_x000D_
More buying choices_x000D_
£137.05(10 new offers)</t>
  </si>
  <si>
    <t>B00S4U4W4I</t>
  </si>
  <si>
    <t>_x000D_
_x000D_
_x000D_
_x000D_
_x000D_
_x000D_
_x000D_
_x000D_
_x000D_
De'Longhi Vintage Icona Traditional Barista Pump Espresso Machine, Coffee and Cappuccino Maker, ECOV311BG, 1.4 liters, Cream_x000D_
 _x000D_
_x000D_
4.0_x000D_
4.0 out of 5 stars_x000D_
 (3.5K)  _x000D_
_x000D_
_x000D_
Price, product page£169.49£169.49_x000D_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basket_x000D_
_x000D_
_x000D_
_x000D_
_x000D_
_x000D_
_x000D_
_x000D_
_x000D_
More buying choices_x000D_
£72.49(5+ used &amp; new offers)</t>
  </si>
  <si>
    <t>B011E98I22</t>
  </si>
  <si>
    <t>_x000D_
_x000D_
_x000D_
_x000D_
_x000D_
_x000D_
_x000D_
_x000D_
_x000D_
Diguo Belgian Belgium Luxury Royal Family Balance Syphon Coffee Maker Classic Double Column Top Grade, Classic and Elegant Design (Golden)_x000D_
 _x000D_
_x000D_
4.4_x000D_
4.4 out of 5 stars_x000D_
 (309)  _x000D_
_x000D_
_x000D_
Price, product page£197.68£197.68_x000D_
_x000D_
_x000D_
_x000D_
_x000D_
_x000D_
_x000D_
_x000D_
_x000D_
FREE delivery 19 - 25 Mar_x000D_
_x000D_
_x000D_
_x000D_
_x000D_
_x000D_
_x000D_
_x000D_
_x000D_
_x000D_
_x000D_
_x000D_
_x000D_
_x000D_
_x000D_
Add to basket_x000D_
_x000D_
_x000D_
_x000D_
_x000D_
_x000D_
_x000D_
_x000D_
_x000D_
More buying choices_x000D_
£196.77(4 new offers)</t>
  </si>
  <si>
    <t>B093HFZXTV</t>
  </si>
  <si>
    <t>_x000D_
_x000D_
_x000D_
_x000D_
_x000D_
_x000D_
_x000D_
_x000D_
_x000D_
Dr. Beckmann Coffee Machine Cleaning Tabs | Removes coffee grease &amp; oil | 6 tabs_x000D_
 _x000D_
_x000D_
Tablet_x000D_
_x000D_
_x000D_
_x000D_
Options:_x000D_
2 sizes2 sizes_x000D_
_x000D_
4.5_x000D_
4.5 out of 5 stars_x000D_
 (623)  _x000D_
1K+ bought in past month_x000D_
_x000D_
_x000D_
_x000D_
Price, product page£2.49£2.49 (£0.42£0.42/count) RRP: £3.80_x000D_
RRP: £3.80£3.80_x000D_
_x000D_
_x000D_
subscription voucher_x000D_
Extra 10% off  subscription voucher_x000D_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</si>
  <si>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B0DQYRZP89</t>
  </si>
  <si>
    <t>_x000D_
_x000D_
_x000D_
_x000D_
_x000D_
_x000D_
_x000D_
_x000D_
_x000D_
Dualit Espressivo Pro Coffee Machine - Dual Boiler - Integrated Coffee Bean Grinder - Steam Wand - 2.8L Removable Water Tank - Built in Warming Plate - 20 Bar Pressure - Stainless Steel_x000D_
 _x000D_
_x000D_
4.6_x000D_
4.6 out of 5 stars_x000D_
 (12)  _x000D_
_x000D_
_x000D_
Price, product page£549.00£549.00_x000D_
_x000D_
_x000D_
_x000D_
_x000D_
_x000D_
_x000D_
_x000D_
_x000D_
FREE delivery Tue 10 Mar_x000D_
_x000D_
_x000D_
Or fastest delivery Tomorrow, 8 Mar_x000D_
_x000D_
Only 1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t>
  </si>
  <si>
    <t>B0GDZSSN6Q</t>
  </si>
  <si>
    <t>_x000D_
_x000D_
_x000D_
_x000D_
_x000D_
_x000D_
_x000D_
_x000D_
_x000D_
Espresso Coffee Machine Semi Automatic 1300W, Stainless Steel Espresso Maker with Steam Wand &amp; Pressure Gauge, Fast Heat Up Italian Coffee Machine for Home Kitchen_x000D_
 _x000D_
_x000D_
4.4_x000D_
4.4 out of 5 stars_x000D_
 (12)  _x000D_
_x000D_
_x000D_
Price, product page£179.99£179.99_x000D_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£161.95(3 used &amp; new offers)</t>
  </si>
  <si>
    <t>B0FLK3ZBCC</t>
  </si>
  <si>
    <t>_x000D_
_x000D_
_x000D_
_x000D_
_x000D_
_x000D_
_x000D_
_x000D_
_x000D_
Espresso Coffee Machine with Grinder &amp; Milk Frother – 20 Bar Pump, 30 Grind Settings, 2.8L Water Tank, PID Temperature Control, Cappuccino &amp; Latte Maker for Home_x000D_
 _x000D_
_x000D_
_x000D_
Options:_x000D_
2 sizes2 sizes_x000D_
_x000D_
4.6_x000D_
4.6 out of 5 stars_x000D_
 (45)  _x000D_
50+ bought in past month_x000D_
_x000D_
_x000D_
_x000D_
Price, product page£269.99£269.99_x000D_
_x000D_
_x000D_
_x000D_
_x000D_
_x000D_
_x000D_
_x000D_
_x000D_
FREE delivery Tue 10 Mar_x000D_
_x000D_
_x000D_
Or fastest delivery Tomorrow, 8 Mar_x000D_
_x000D_
Only 15 left in stock._x000D_
_x000D_
_x000D_
_x000D_
_x000D_
_x000D_
_x000D_
_x000D_
_x000D_
_x000D_
_x000D_
_x000D_
_x000D_
_x000D_
_x000D_
Add to basket_x000D_
_x000D_
_x000D_
_x000D_
_x000D_
_x000D_
_x000D_
_x000D_
_x000D_
More buying choices_x000D_
£235.44(3 used &amp; new offers)</t>
  </si>
  <si>
    <t>B0B6R6CKMK</t>
  </si>
  <si>
    <t>_x000D_
_x000D_
_x000D_
_x000D_
_x000D_
_x000D_
_x000D_
_x000D_
_x000D_
Espresso Machine 20 Bar, Stainless Steel Coffee Maker Professional Espresso Maker with Power Steam &amp; LED Display for Home Barista, Americano, Latte, Cappuccino Maker, 1.8L Water Tank_x000D_
 _x000D_
_x000D_
4.1_x000D_
4.1 out of 5 stars_x000D_
 (989)  _x000D_
_x000D_
_x000D_
Price, product page£198.27£198.27_x000D_
_x000D_
_x000D_
_x000D_
_x000D_
_x000D_
_x000D_
_x000D_
_x000D_
£6.63 delivery 12 - 23 Mar_x000D_
_x000D_
_x000D_
_x000D_
_x000D_
_x000D_
_x000D_
_x000D_
_x000D_
_x000D_
_x000D_
_x000D_
_x000D_
_x000D_
_x000D_
Add to basket</t>
  </si>
  <si>
    <t>B0C8ZSWK4B</t>
  </si>
  <si>
    <t>_x000D_
_x000D_
_x000D_
_x000D_
_x000D_
_x000D_
_x000D_
_x000D_
_x000D_
Espresso Machine Cleaning Tablets Cleaner - ACTIVE Backflush Group-head Oil Remover Solution Tablet, Compatible with Sage, Breville Barista Max, Gaggia, Delonghi, Tassimo Bosch, Dolce Gusto - 120 Tabs_x000D_
 _x000D_
_x000D_
Tablet_x000D_
_x000D_
_x000D_
4.7_x000D_
4.7 out of 5 stars_x000D_
 (1.9K)  _x000D_
2K+ bought in past month_x000D_
_x000D_
_x000D_
_x000D_
Price, product page£14.95£14.95 (£0.12£0.12/count)_x000D_
_x000D_
_x000D_
subscription voucher_x000D_
Extra £1.00 off  subscription voucher_x000D_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</si>
  <si>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B0FBFM3FBT</t>
  </si>
  <si>
    <t>_x000D_
_x000D_
_x000D_
_x000D_
_x000D_
_x000D_
_x000D_
_x000D_
_x000D_
Espresso Machine Coffee Maker with Milk Frother Automatic Bean to Cup Coffee Machines Stainless Steel 15 Bar for Cappuccino Latte Macchiato Barista Style Drinks 1.5L Water Tank_x000D_
 _x000D_
_x000D_
5.0_x000D_
5.0 out of 5 stars_x000D_
 (2)  _x000D_
20+ bought in past month_x000D_
_x000D_
_x000D_
_x000D_
Price, product page£69.99£69.99_x000D_
_x000D_
_x000D_
_x000D_
_x000D_
_x000D_
_x000D_
_x000D_
_x000D_
FREE delivery 12 - 13 Mar_x000D_
_x000D_
_x000D_
_x000D_
_x000D_
_x000D_
_x000D_
_x000D_
_x000D_
_x000D_
_x000D_
_x000D_
_x000D_
_x000D_
_x000D_
Add to basket</t>
  </si>
  <si>
    <t>B0CZ7WSH1N</t>
  </si>
  <si>
    <t>_x000D_
_x000D_
_x000D_
_x000D_
_x000D_
_x000D_
_x000D_
_x000D_
_x000D_
Espresso Machine Portable 12v: Travel Coffee Maker for Car - 2.5 Mins Fast Heating - 8 Cups Espresso for One Charge - Perfect for Camping, Hiking, Lorry_x000D_
 _x000D_
_x000D_
4.0_x000D_
4.0 out of 5 stars_x000D_
 (391)  _x000D_
_x000D_
_x000D_
Price, product page£99.99£99.99_x000D_
_x000D_
_x000D_
Buy any 2, Save 20%_x000D_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</si>
  <si>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B0FLK1N2W9</t>
  </si>
  <si>
    <t>_x000D_
_x000D_
_x000D_
_x000D_
_x000D_
_x000D_
_x000D_
_x000D_
_x000D_
Espresso Machine, 15Bar Barista Pump Espresso Coffee Maker with Milk Frother for Lattes and Cappuccino, 1.4L Water Tank, One-Touch Operation, LED Display, Compact for Home and Office Use_x000D_
 _x000D_
_x000D_
4.8_x000D_
4.8 out of 5 stars_x000D_
 (17)  _x000D_
20+ bought in past month_x000D_
_x000D_
_x000D_
_x000D_
Price, product page£129.99£129.99_x000D_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</si>
  <si>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B08QW6RH4S</t>
  </si>
  <si>
    <t>_x000D_
_x000D_
_x000D_
_x000D_
_x000D_
_x000D_
_x000D_
_x000D_
_x000D_
EspressoWorks 10Pc All-in-One Barista Bundle Espresso Machine &amp; Cappuccino Maker, Built in Milk Steam &amp; Frother, Electric Grinder, 2 Cappuccino &amp; 2 Espresso Cups,16 Coffee Stencils (Rose Gold)_x000D_
 _x000D_
_x000D_
4.1_x000D_
4.1 out of 5 stars_x000D_
 (141)  _x000D_
_x000D_
_x000D_
_x000D_
_x000D_
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See options_x000D_
_x000D_
_x000D_
No featured offers available_x000D_
£299.00	(1 new offer)</t>
  </si>
  <si>
    <t>B08QW6CWWB</t>
  </si>
  <si>
    <t>_x000D_
_x000D_
_x000D_
_x000D_
_x000D_
_x000D_
_x000D_
_x000D_
_x000D_
EspressoWorks 10Pc All-in-One Barista Bundle Espresso Machine &amp; Cappuccino Maker, Built in Milk Steam &amp; Frother, Electric Grinder, 2 Cappuccino &amp; 2 Espresso Cups,16 Coffee Stencils (White)_x000D_
 _x000D_
_x000D_
3.8_x000D_
3.8 out of 5 stars_x000D_
 (104)  _x000D_
_x000D_
_x000D_
Price, product page£151.00£151.00_x000D_
_x000D_
_x000D_
_x000D_
_x000D_
_x000D_
_x000D_
_x000D_
_x000D_
FREE delivery Tue 10 Mar_x000D_
_x000D_
_x000D_
Or fastest delivery Tomorrow, 8 Mar_x000D_
_x000D_
Only 11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basket_x000D_
_x000D_
_x000D_
_x000D_
_x000D_
_x000D_
_x000D_
_x000D_
_x000D_
More buying choices_x000D_
£150.00(3 used &amp; new offers)</t>
  </si>
  <si>
    <t>B0CYGWCVBG</t>
  </si>
  <si>
    <t>_x000D_
_x000D_
_x000D_
_x000D_
_x000D_
_x000D_
_x000D_
_x000D_
_x000D_
FOHERE Conical Burr Coffee Grinder Electric, Coffee Bean Grinder with 35 Precise Grind Setting, Adjustable Burr Grinders, Anti-static Burr Coffee Grinder for Espresso, Drip Coffee, French Press, Black_x000D_
 _x000D_
_x000D_
3.9_x000D_
3.9 out of 5 stars_x000D_
 (74)  _x000D_
_x000D_
_x000D_
Price, product page£59.99£59.99_x000D_
_x000D_
_x000D_
£10.00 off coupon applied_x000D_
Save £10.00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</si>
  <si>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B07B35Z37S</t>
  </si>
  <si>
    <t>_x000D_
_x000D_
_x000D_
_x000D_
_x000D_
_x000D_
_x000D_
_x000D_
_x000D_
Frog Revolution Italian Espresso Pods Machine 650w Full Red + 15 PODS Mokaor Italian Since 1954_x000D_
 _x000D_
_x000D_
4.3_x000D_
4.3 out of 5 stars_x000D_
 (486)  _x000D_
_x000D_
_x000D_
Price, product page£145.81£145.81_x000D_
_x000D_
_x000D_
_x000D_
_x000D_
_x000D_
_x000D_
_x000D_
_x000D_
FREE delivery 27 - 28 Mar_x000D_
_x000D_
Only 1 left in stock._x000D_
_x000D_
_x000D_
_x000D_
_x000D_
_x000D_
_x000D_
_x000D_
_x000D_
_x000D_
_x000D_
_x000D_
_x000D_
_x000D_
_x000D_
Add to basket</t>
  </si>
  <si>
    <t>B0CJ54PD3N</t>
  </si>
  <si>
    <t>_x000D_
_x000D_
_x000D_
_x000D_
_x000D_
_x000D_
_x000D_
_x000D_
_x000D_
Gaggia EG2109 Orange, Manual Espresso Machine for Ground Coffee or Single Serve Pods, POD System for Creamy Espressos with Single Doses, Automatic Pre-Infusion, New Model 2023, 100% Made in Italy_x000D_
 _x000D_
_x000D_
3.5_x000D_
3.5 out of 5 stars_x000D_
 (78)  _x000D_
_x000D_
_x000D_
Price, product page£143.00£143.00_x000D_
_x000D_
_x000D_
_x000D_
_x000D_
_x000D_
_x000D_
_x000D_
_x000D_
£13.19 delivery 17 - 20 Mar_x000D_
_x000D_
_x000D_
Or fastest delivery 10 - 11 Mar_x000D_
_x000D_
Only 2 left in stock._x000D_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</si>
  <si>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B00YXDRV2U</t>
  </si>
  <si>
    <t>_x000D_
_x000D_
_x000D_
_x000D_
_x000D_
_x000D_
_x000D_
_x000D_
_x000D_
Gaggia HD8749/11 Naviglio Deluxe Coffee Machine, 1850 W, 15 Bar, Silver_x000D_
 _x000D_
_x000D_
3.8_x000D_
3.8 out of 5 stars_x000D_
 (386)  _x000D_
_x000D_
_x000D_
Price, product page£369.00£369.00_x000D_
_x000D_
_x000D_
_x000D_
_x000D_
_x000D_
_x000D_
_x000D_
_x000D_
FREE delivery 11 - 12 Mar_x000D_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basket_x000D_
_x000D_
_x000D_
_x000D_
_x000D_
_x000D_
_x000D_
_x000D_
Energy Efficiency Class: A</t>
  </si>
  <si>
    <t>B093Y2YD5D</t>
  </si>
  <si>
    <t>_x000D_
_x000D_
_x000D_
_x000D_
_x000D_
_x000D_
_x000D_
_x000D_
_x000D_
Gaggia Magenta Prestige Automatic Bean to Cup Coffee Machine, Espresso and Cappuccino Maker with Integrated Milk Carafe, Black_x000D_
 _x000D_
_x000D_
3.8_x000D_
3.8 out of 5 stars_x000D_
 (225)  _x000D_
_x000D_
_x000D_
Price, product page£589.00£589.00_x000D_
_x000D_
_x000D_
_x000D_
_x000D_
_x000D_
_x000D_
_x000D_
_x000D_
FREE delivery 11 - 12 Mar_x000D_
_x000D_
Only 10 left in stock._x000D_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</si>
  <si>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B0FRRPM3CX</t>
  </si>
  <si>
    <t>_x000D_
_x000D_
_x000D_
_x000D_
_x000D_
_x000D_
_x000D_
_x000D_
_x000D_
GEEPAS 1.5L Filter Coffee Machine &amp; 2 Slice Toaster Combo Set | 900W Programmable Drip Coffee Maker for Instant Coffee Espresso 40min Keep Warm Timer 1000W Bread Toaster 6 Browning Levels Crumb Tray_x000D_
 _x000D_
_x000D_
_x000D_
Options:_x000D_
6 sizes6 sizes_x000D_
_x000D_
3.9_x000D_
3.9 out of 5 stars_x000D_
 (4)  _x000D_
_x000D_
_x000D_
Price, product page£64.99£64.99_x000D_
_x000D_
_x000D_
_x000D_
_x000D_
_x000D_
_x000D_
_x000D_
_x000D_
FREE delivery Mon 9 Mar_x000D_
_x000D_
_x000D_
_x000D_
_x000D_
_x000D_
_x000D_
_x000D_
_x000D_
_x000D_
_x000D_
_x000D_
_x000D_
_x000D_
_x000D_
Add to basket</t>
  </si>
  <si>
    <t>B0CT2SC7DM</t>
  </si>
  <si>
    <t>_x000D_
_x000D_
_x000D_
_x000D_
_x000D_
_x000D_
_x000D_
_x000D_
_x000D_
GEEPAS 1100W Espresso &amp; Cappuccino Coffee Machine &amp; 200W Coffee Grinder Combo Set | Milk Frother, 1.5L Water Tank | Electric Wet &amp; Dry Food Processor Mill for Spice Nuts Chutney, 75g Detachable Bowl_x000D_
 _x000D_
_x000D_
3.4_x000D_
3.4 out of 5 stars_x000D_
 (15)  _x000D_
_x000D_
_x000D_
Price, product page£89.99£89.99_x000D_
_x000D_
_x000D_
_x000D_
_x000D_
_x000D_
_x000D_
_x000D_
_x000D_
FREE delivery Mon 9 Mar_x000D_
_x000D_
_x000D_
_x000D_
_x000D_
_x000D_
_x000D_
_x000D_
_x000D_
_x000D_
_x000D_
_x000D_
_x000D_
_x000D_
_x000D_
Add to basket</t>
  </si>
  <si>
    <t>B0CRTPTNHQ</t>
  </si>
  <si>
    <t>_x000D_
_x000D_
_x000D_
_x000D_
_x000D_
_x000D_
_x000D_
_x000D_
_x000D_
GEEPAS Espresso &amp; Cappuccino Coffee Machine with Milk Frother, 15 Bar Pressure | 1.8L Detachable Water Tank Capacity, Stainless Steel Housing | 1140W, Silver_x000D_
 _x000D_
_x000D_
_x000D_
Options:_x000D_
2 sizes2 sizes_x000D_
_x000D_
3.7_x000D_
3.7 out of 5 stars_x000D_
 (5)  _x000D_
_x000D_
_x000D_
Price, product page£99.99£99.99_x000D_
_x000D_
_x000D_
_x000D_
_x000D_
_x000D_
_x000D_
_x000D_
_x000D_
FREE delivery Mon 9 Mar_x000D_
_x000D_
_x000D_
_x000D_
_x000D_
_x000D_
_x000D_
_x000D_
_x000D_
_x000D_
_x000D_
_x000D_
_x000D_
_x000D_
_x000D_
Add to basket</t>
  </si>
  <si>
    <t>B0CRTQ19JH</t>
  </si>
  <si>
    <t>_x000D_
_x000D_
_x000D_
_x000D_
_x000D_
_x000D_
_x000D_
_x000D_
_x000D_
GEEPAS Espresso &amp; Cappuccino Coffee Machine with Milk Frother, 20 Bar Pressure | 1.5L Water Tank Capacity, Stainless Steel Housing | 1100W, Silver, Ideal for Barista Quality Beverages_x000D_
 _x000D_
_x000D_
_x000D_
Options:_x000D_
2 sizes2 sizes_x000D_
_x000D_
3.9_x000D_
3.9 out of 5 stars_x000D_
 (77)  _x000D_
30+ bought in past month_x000D_
_x000D_
_x000D_
_x000D_
Price, product page£76.99£76.99_x000D_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£55.36(4+ used &amp; new offers)</t>
  </si>
  <si>
    <t>B0CVXCLWXN</t>
  </si>
  <si>
    <t>_x000D_
_x000D_
_x000D_
_x000D_
_x000D_
_x000D_
_x000D_
_x000D_
_x000D_
GEEPAS Espresso &amp; Cappuccino Coffee Machine with Milk Frother, 20 Bar Pressure | 1.5L Water Tank Capacity, Stainless Steel Housing | 1100W, Silver, Ideal for Barista Quality Beverages_x000D_
 _x000D_
_x000D_
4.0_x000D_
4.0 out of 5 stars_x000D_
 (80)  _x000D_
_x000D_
_x000D_
Price, product page£79.99£79.99_x000D_
_x000D_
_x000D_
_x000D_
_x000D_
_x000D_
_x000D_
_x000D_
_x000D_
FREE delivery Mon 9 Mar_x000D_
_x000D_
_x000D_
_x000D_
_x000D_
_x000D_
_x000D_
_x000D_
_x000D_
_x000D_
_x000D_
_x000D_
_x000D_
_x000D_
_x000D_
Add to basket</t>
  </si>
  <si>
    <t>B07NXQ7TD5</t>
  </si>
  <si>
    <t>_x000D_
_x000D_
_x000D_
_x000D_
_x000D_
_x000D_
_x000D_
_x000D_
_x000D_
Godmorn Stovetop Espresso Maker, Espresso Maker Induction Hob, Italian Coffee Maker Induction, Moka Pot 450ml/9 Cup (Italian Espresso Cup = 50ml), Coffee Maker for Induction Hob_x000D_
 _x000D_
_x000D_
_x000D_
Options:_x000D_
2 sizes2 sizes_x000D_
_x000D_
4.1_x000D_
4.1 out of 5 stars_x000D_
 (6.3K)  _x000D_
50+ bought in past month_x000D_
_x000D_
_x000D_
_x000D_
Price, product page£21.99£21.99_x000D_
_x000D_
_x000D_
15% off coupon applied_x000D_
Save 15%  with voucher_x000D_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</si>
  <si>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B09JGBQSHH</t>
  </si>
  <si>
    <t>_x000D_
_x000D_
_x000D_
_x000D_
_x000D_
_x000D_
_x000D_
_x000D_
_x000D_
GRIFEMA GC3003 Coffee Maker, Cappuccino Automatic Espresso, Filter Holder Arm with Double Exhaust and Two Filters, 20 Bar Pressure, Removable 1.4L Tank, 1350 W, BPA Free, Plata_x000D_
 _x000D_
_x000D_
3.4_x000D_
3.4 out of 5 stars_x000D_
 (63)  _x000D_
_x000D_
_x000D_
Price, product page£89.66£89.66_x000D_
_x000D_
_x000D_
_x000D_
_x000D_
_x000D_
_x000D_
_x000D_
_x000D_
FREE delivery Tue 10 Mar_x000D_
_x000D_
_x000D_
Or fastest delivery Tomorrow, 8 Mar_x000D_
_x000D_
Only 6 left in stock._x000D_
_x000D_
_x000D_
_x000D_
_x000D_
_x000D_
_x000D_
_x000D_
_x000D_
_x000D_
_x000D_
_x000D_
_x000D_
_x000D_
_x000D_
Add to basket</t>
  </si>
  <si>
    <t>B0FWKSN689</t>
  </si>
  <si>
    <t>_x000D_
_x000D_
_x000D_
_x000D_
_x000D_
_x000D_
_x000D_
_x000D_
_x000D_
Hamilton Beach Espresso Coffee Machine, BaristaPro 5-in-1, Compact Stainless Steel, LCD Touch Screen Control, Steam Milk Frother, 20-Bar Pressure &amp; Fast Heat, Hot &amp; Iced Coffee, Cream - HBC5210C_x000D_
 _x000D_
_x000D_
4.7_x000D_
4.7 out of 5 stars_x000D_
 (7)  _x000D_
_x000D_
_x000D_
Price, product page£159.98£159.98_x000D_
_x000D_
_x000D_
_x000D_
_x000D_
_x000D_
_x000D_
_x000D_
_x000D_
FREE delivery Tue 10 Mar_x000D_
_x000D_
_x000D_
_x000D_
_x000D_
_x000D_
_x000D_
_x000D_
_x000D_
_x000D_
_x000D_
_x000D_
_x000D_
_x000D_
_x000D_
Add to basket</t>
  </si>
  <si>
    <t>B0FWKLGCPZ</t>
  </si>
  <si>
    <t>_x000D_
_x000D_
_x000D_
_x000D_
_x000D_
_x000D_
_x000D_
_x000D_
_x000D_
Hamilton Beach Espresso Coffee Machine, BaristaPro+ 8-in-1, Compact Stainless Steel, LCD Touch Screen Control, Integrated Milk Frother, 20-Bar Pressure &amp; Fast Heat, Hot &amp; Iced Coffee, Black - HBC7210B_x000D_
 _x000D_
_x000D_
3.2_x000D_
3.2 out of 5 stars_x000D_
 (5)  _x000D_
_x000D_
_x000D_
Price, product page£189.98£189.98_x000D_
_x000D_
_x000D_
_x000D_
_x000D_
_x000D_
_x000D_
_x000D_
_x000D_
FREE delivery Tue 10 Mar_x000D_
_x000D_
_x000D_
_x000D_
_x000D_
_x000D_
_x000D_
_x000D_
_x000D_
_x000D_
_x000D_
_x000D_
_x000D_
_x000D_
_x000D_
Add to basket</t>
  </si>
  <si>
    <t>B0FWKPW1CM</t>
  </si>
  <si>
    <t>_x000D_
_x000D_
_x000D_
_x000D_
_x000D_
_x000D_
_x000D_
_x000D_
_x000D_
Hamilton Beach Espresso Coffee Machine, BaristaPro+ 8-in-1, Compact Stainless Steel, LCD Touch Screen Control, Integrated Milk Frother, 20-Bar Pressure &amp; Fast Heat, Hot &amp; Iced Coffee, Cream - HBC7210C_x000D_
 _x000D_
_x000D_
3.3_x000D_
3.3 out of 5 stars_x000D_
 (8)  _x000D_
_x000D_
_x000D_
Price, product page£189.98£189.98_x000D_
_x000D_
_x000D_
_x000D_
_x000D_
_x000D_
_x000D_
_x000D_
_x000D_
FREE delivery Tue 10 Mar_x000D_
_x000D_
_x000D_
_x000D_
_x000D_
_x000D_
_x000D_
_x000D_
_x000D_
_x000D_
_x000D_
_x000D_
_x000D_
_x000D_
_x000D_
Add to basket</t>
  </si>
  <si>
    <t>B00CWANDT6</t>
  </si>
  <si>
    <t>_x000D_
_x000D_
_x000D_
_x000D_
_x000D_
_x000D_
_x000D_
_x000D_
_x000D_
HG Coffee Machine Descaler, Tough Scale Remover for Espresso &amp; Pod Machines – 500ml_x000D_
 _x000D_
_x000D_
Liquid_x000D_
_x000D_
_x000D_
4.3_x000D_
4.3 out of 5 stars_x000D_
 (29.2K)  _x000D_
3K+ bought in past month_x000D_
_x000D_
_x000D_
_x000D_
Price, product page£7.00£7.00 (£14.00£14.00/l)_x000D_
_x000D_
_x000D_
_x000D_
_x000D_
_x000D_
_x000D_
_x000D_
_x000D_
FREE delivery Tue 10 Mar_x000D_
_x000D_
Only 8 left in stock._x000D_
_x000D_
_x000D_
_x000D_
_x000D_
_x000D_
_x000D_
_x000D_
_x000D_
_x000D_
_x000D_
_x000D_
_x000D_
_x000D_
_x000D_
Add to basket_x000D_
_x000D_
_x000D_
_x000D_
_x000D_
_x000D_
_x000D_
_x000D_
_x000D_
More buying choices_x000D_
£4.99(23 new offers)</t>
  </si>
  <si>
    <t>B0FY321JQ3</t>
  </si>
  <si>
    <t>_x000D_
_x000D_
_x000D_
_x000D_
_x000D_
_x000D_
_x000D_
_x000D_
_x000D_
HIBREW H13 - Espresso Machine with LED Display - 58mm Portafilter in Stainless Steel - Compact Espresso Maker with Steam Milk Forther &amp; Separate Hot Water Spout._x000D_
 _x000D_
_x000D_
_x000D_
Price, product page£279.99£279.99_x000D_
_x000D_
_x000D_
_x000D_
_x000D_
_x000D_
_x000D_
_x000D_
_x000D_
FREE delivery Tue 10 Mar_x000D_
_x000D_
_x000D_
Or fastest delivery Tomorrow, 8 Mar_x000D_
_x000D_
Only 8 left in stock._x000D_
_x000D_
_x000D_
_x000D_
_x000D_
_x000D_
_x000D_
_x000D_
_x000D_
_x000D_
_x000D_
_x000D_
_x000D_
_x000D_
_x000D_
Add to basket</t>
  </si>
  <si>
    <t>B0FYPVRL8Q</t>
  </si>
  <si>
    <t>_x000D_
_x000D_
_x000D_
_x000D_
_x000D_
_x000D_
_x000D_
_x000D_
_x000D_
HIBREW H4C Explorer - Portable Electric Espresso Maker, USB-C Rechargeable for Coffee Pods &amp; Ground Coffee, Compact for Home and Travel, with Foldable Holder &amp; Carrying Case_x000D_
 _x000D_
_x000D_
3.8_x000D_
3.8 out of 5 stars_x000D_
 (7)  _x000D_
_x000D_
_x000D_
Price, product page£179.99£179.99_x000D_
_x000D_
_x000D_
_x000D_
_x000D_
_x000D_
_x000D_
_x000D_
_x000D_
FREE delivery Tue 10 Mar_x000D_
_x000D_
_x000D_
Or fastest delivery Tomorrow, 8 Mar_x000D_
_x000D_
Only 14 left in stock._x000D_
_x000D_
_x000D_
_x000D_
_x000D_
_x000D_
_x000D_
_x000D_
_x000D_
_x000D_
_x000D_
_x000D_
_x000D_
_x000D_
_x000D_
Add to basket</t>
  </si>
  <si>
    <t>B0G3X4MPXH</t>
  </si>
  <si>
    <t>_x000D_
_x000D_
_x000D_
_x000D_
_x000D_
_x000D_
_x000D_
_x000D_
_x000D_
IKAPE KAPO K2 Pro Portable Espresso Machine with Bluetooth APP Connect &amp; 58mm Bottomless Basket, Electric Coffee Maker 20 Bar Pressure, for Home, Travel, Camping_x000D_
 _x000D_
_x000D_
_x000D_
Options:_x000D_
2 sizes2 sizes_x000D_
_x000D_
4.2_x000D_
4.2 out of 5 stars_x000D_
 (22)  _x000D_
_x000D_
_x000D_
Price, product page£197.79£197.79 RRP: £229.99_x000D_
RRP: £229.99£229.99_x000D_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</si>
  <si>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B085238JSZ</t>
  </si>
  <si>
    <t>_x000D_
_x000D_
_x000D_
_x000D_
_x000D_
_x000D_
_x000D_
_x000D_
_x000D_
illy 60415 Coffee Maker Machine Y3.3 Iperespresso, Espresso &amp; Filter Capsules Coffee Machine, Compact Design, Black_x000D_
 _x000D_
_x000D_
4.3_x000D_
4.3 out of 5 stars_x000D_
 (263)  _x000D_
_x000D_
_x000D_
_x000D_
_x000D_
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See options_x000D_
_x000D_
_x000D_
No featured offers available_x000D_
£150.00	(1 new offer)</t>
  </si>
  <si>
    <t>B01H1SH4C0</t>
  </si>
  <si>
    <t>_x000D_
_x000D_
_x000D_
_x000D_
_x000D_
_x000D_
_x000D_
_x000D_
_x000D_
Inter Marche Arret Cafe For Kitchenaid Espresso Machine 5KES100 – C00142650_x000D_
 _x000D_
_x000D_
_x000D_
Price, product page£11.54£11.54_x000D_
_x000D_
_x000D_
_x000D_
_x000D_
_x000D_
_x000D_
_x000D_
_x000D_
FREE delivery 14 - 17 Mar_x000D_
_x000D_
Only 2 left in stock._x000D_
_x000D_
_x000D_
_x000D_
_x000D_
_x000D_
_x000D_
_x000D_
_x000D_
_x000D_
_x000D_
_x000D_
_x000D_
_x000D_
_x000D_
Add to basket</t>
  </si>
  <si>
    <t>B0GH7PYNN8</t>
  </si>
  <si>
    <t>_x000D_
_x000D_
_x000D_
_x000D_
_x000D_
_x000D_
_x000D_
_x000D_
_x000D_
KARACA CoffeeMaestro Automatic Espresso Coffee Machine, 1500W, 1,5L, Integrated Milk Frother, Touch LED Display, Large Water Tank &amp; Cup Warmer, Grinder, Black_x000D_
 _x000D_
_x000D_
_x000D_
Price, product page£399.99£399.99_x000D_
_x000D_
_x000D_
_x000D_
_x000D_
_x000D_
_x000D_
_x000D_
_x000D_
FREE delivery Mon 16 Mar_x000D_
_x000D_
_x000D_
_x000D_
_x000D_
_x000D_
_x000D_
_x000D_
_x000D_
_x000D_
_x000D_
_x000D_
_x000D_
_x000D_
_x000D_
Add to basket_x000D_
_x000D_
_x000D_
_x000D_
_x000D_
_x000D_
_x000D_
_x000D_
_x000D_
More buying choices_x000D_
£349.99(2 new offers)</t>
  </si>
  <si>
    <t>B0GGSQ6LBB</t>
  </si>
  <si>
    <t>_x000D_
_x000D_
_x000D_
_x000D_
_x000D_
_x000D_
_x000D_
_x000D_
_x000D_
KARACA MyCaffe Barista S10 Espresso, Latte &amp; Cappuccino Coffee Machine with Integrated Milk Tank, 1,8L, 1350W, Touch Control Panel, 15 Bar Pump Pressure, Hot Milk Function, Walnut Brown_x000D_
 _x000D_
_x000D_
_x000D_
Price, product page£129.99£129.99_x000D_
_x000D_
_x000D_
_x000D_
_x000D_
_x000D_
_x000D_
_x000D_
_x000D_
FREE delivery Mon 16 Mar_x000D_
_x000D_
_x000D_
_x000D_
_x000D_
_x000D_
_x000D_
_x000D_
_x000D_
_x000D_
_x000D_
_x000D_
_x000D_
_x000D_
_x000D_
Add to basket_x000D_
_x000D_
_x000D_
_x000D_
_x000D_
_x000D_
_x000D_
_x000D_
_x000D_
More buying choices_x000D_
£119.99(2 new offers)</t>
  </si>
  <si>
    <t>B0FFW5169X</t>
  </si>
  <si>
    <t>_x000D_
_x000D_
_x000D_
_x000D_
_x000D_
_x000D_
_x000D_
_x000D_
_x000D_
Keurig K-Crema Single Serve K-Cup Pod Coffee Maker, PressureInfusion &amp; MultiStream Technology, Brews Crema-Topped Coffee, Espresso-Style Shots, Classic Coffee, Tea, Cocoa, 72 oz Removable Reservoir_x000D_
 _x000D_
_x000D_
3.7_x000D_
3.7 out of 5 stars_x000D_
 (122)  _x000D_
_x000D_
_x000D_
Price, product page£207.82£207.82_x000D_
_x000D_
_x000D_
_x000D_
_x000D_
_x000D_
_x000D_
_x000D_
_x000D_
_x000D_
_x000D_
_x000D_
_x000D_
_x000D_
_x000D_
_x000D_
_x000D_
_x000D_
_x000D_
Add to basket</t>
  </si>
  <si>
    <t>B097P3856B</t>
  </si>
  <si>
    <t>_x000D_
_x000D_
_x000D_
_x000D_
_x000D_
_x000D_
_x000D_
_x000D_
_x000D_
KitchenAid Artisan Semi-Auto Espresso Machine Cast Iron Black_x000D_
 _x000D_
_x000D_
4.1_x000D_
4.1 out of 5 stars_x000D_
 (184)  _x000D_
_x000D_
_x000D_
Price, product page£225.00£225.00_x000D_
_x000D_
_x000D_
_x000D_
_x000D_
_x000D_
_x000D_
_x000D_
_x000D_
FREE delivery Tue 10 Mar_x000D_
_x000D_
_x000D_
_x000D_
_x000D_
_x000D_
_x000D_
_x000D_
_x000D_
_x000D_
_x000D_
_x000D_
_x000D_
_x000D_
_x000D_
Add to basket</t>
  </si>
  <si>
    <t>B0C6B4KQF3</t>
  </si>
  <si>
    <t>_x000D_
_x000D_
_x000D_
_x000D_
_x000D_
_x000D_
_x000D_
_x000D_
_x000D_
KitchenAid Espresso Machine - Artisan Black Matte_x000D_
 _x000D_
_x000D_
4.6_x000D_
4.6 out of 5 stars_x000D_
 (6)  _x000D_
_x000D_
_x000D_
Price, product page£331.98£331.98_x000D_
_x000D_
_x000D_
_x000D_
_x000D_
_x000D_
_x000D_
_x000D_
_x000D_
FREE delivery Tue 10 Mar_x000D_
_x000D_
_x000D_
Or fastest delivery Tomorrow, 8 Mar_x000D_
_x000D_
Only 13 left in stock._x000D_
_x000D_
_x000D_
_x000D_
_x000D_
_x000D_
_x000D_
_x000D_
_x000D_
_x000D_
_x000D_
_x000D_
_x000D_
_x000D_
_x000D_
Add to basket</t>
  </si>
  <si>
    <t>B0B1MBBHCJ</t>
  </si>
  <si>
    <t>_x000D_
_x000D_
_x000D_
_x000D_
_x000D_
_x000D_
_x000D_
_x000D_
_x000D_
KitchenAid Espresso Machine -Artisan - Stainless Steel_x000D_
 _x000D_
_x000D_
3.6_x000D_
3.6 out of 5 stars_x000D_
 (7)  _x000D_
_x000D_
_x000D_
Price, product page£225.00£225.00_x000D_
_x000D_
_x000D_
_x000D_
_x000D_
_x000D_
_x000D_
_x000D_
_x000D_
FREE delivery Tue 10 Mar_x000D_
_x000D_
_x000D_
_x000D_
_x000D_
_x000D_
_x000D_
_x000D_
_x000D_
_x000D_
_x000D_
_x000D_
_x000D_
_x000D_
_x000D_
Add to basket_x000D_
_x000D_
_x000D_
_x000D_
_x000D_
_x000D_
_x000D_
_x000D_
_x000D_
More buying choices_x000D_
£202.50(3+ used &amp; new offers)</t>
  </si>
  <si>
    <t>B0DJSYSVZ9</t>
  </si>
  <si>
    <t>_x000D_
_x000D_
_x000D_
_x000D_
_x000D_
_x000D_
_x000D_
_x000D_
_x000D_
KitchenAid KF8 Fully Automatic Espresso Machine Porcelain White 5KES8558BPL_x000D_
 _x000D_
_x000D_
_x000D_
Price, product page£1,548.00£1,548.00 RRP: £1,899.00_x000D_
RRP: £1,899.00£1,899.00_x000D_
_x000D_
_x000D_
_x000D_
_x000D_
_x000D_
_x000D_
_x000D_
_x000D_
FREE delivery 17 - 19 Mar_x000D_
_x000D_
_x000D_
Or fastest delivery Tue 10 Mar_x000D_
_x000D_
Only 3 left in stock._x000D_
_x000D_
_x000D_
_x000D_
_x000D_
_x000D_
_x000D_
_x000D_
_x000D_
_x000D_
_x000D_
_x000D_
_x000D_
_x000D_
_x000D_
Add to basket</t>
  </si>
  <si>
    <t>B0DP33B8WH</t>
  </si>
  <si>
    <t>_x000D_
_x000D_
_x000D_
_x000D_
_x000D_
_x000D_
_x000D_
_x000D_
_x000D_
Klarstein Arabica Comfort Espresso Machine – 20-Bar, 1350W, Milk Frother, Pod &amp; Ground Coffee Compatible, 1.8L Water Tank, Touch Control, Stainless Steel Frothing Nozzle, Removable Milk Tank_x000D_
 _x000D_
_x000D_
3.9_x000D_
3.9 out of 5 stars_x000D_
 (31)  _x000D_
_x000D_
_x000D_
Price, product page£168.99£168.99_x000D_
_x000D_
_x000D_
_x000D_
_x000D_
_x000D_
_x000D_
_x000D_
_x000D_
FREE delivery 13 - 16 Mar_x000D_
_x000D_
_x000D_
_x000D_
_x000D_
_x000D_
_x000D_
_x000D_
_x000D_
_x000D_
_x000D_
_x000D_
_x000D_
_x000D_
_x000D_
Add to basket</t>
  </si>
  <si>
    <t>B0D2LKPZNR</t>
  </si>
  <si>
    <t>_x000D_
_x000D_
_x000D_
_x000D_
_x000D_
_x000D_
_x000D_
_x000D_
_x000D_
Klarstein Retro Coffee Machines with Milk Frother, 0.9L Espresso Coffee Machine Maker, 1360W Espresso &amp; Cappuccino Machines, Stainless Steel Barista Espresso Machine for Cappuccino, Latte, Expresso_x000D_
 _x000D_
_x000D_
3.8_x000D_
3.8 out of 5 stars_x000D_
 (105)  _x000D_
_x000D_
_x000D_
Price, product page£85.99£85.99_x000D_
_x000D_
_x000D_
_x000D_
_x000D_
_x000D_
_x000D_
_x000D_
_x000D_
FREE delivery 13 - 16 Mar_x000D_
_x000D_
_x000D_
_x000D_
_x000D_
_x000D_
_x000D_
_x000D_
_x000D_
_x000D_
_x000D_
_x000D_
_x000D_
_x000D_
_x000D_
Add to basket</t>
  </si>
  <si>
    <t>B00YJCK9ME</t>
  </si>
  <si>
    <t>_x000D_
_x000D_
_x000D_
_x000D_
_x000D_
_x000D_
_x000D_
_x000D_
_x000D_
Krups EA 810B coffee maker - coffee makers (freestanding, Fully-auto, Espresso machine, Coffee beans, Cappuccino, Espresso, Black)_x000D_
 _x000D_
_x000D_
4.4_x000D_
4.4 out of 5 stars_x000D_
 (61)  _x000D_
_x000D_
_x000D_
Price, product page£388.00£388.00_x000D_
_x000D_
_x000D_
_x000D_
_x000D_
_x000D_
_x000D_
_x000D_
_x000D_
£9 delivery 13 - 17 Mar_x000D_
_x000D_
_x000D_
_x000D_
_x000D_
_x000D_
_x000D_
_x000D_
_x000D_
_x000D_
_x000D_
_x000D_
_x000D_
_x000D_
_x000D_
Add to basket_x000D_
_x000D_
_x000D_
_x000D_
_x000D_
_x000D_
_x000D_
_x000D_
_x000D_
More buying choices_x000D_
£379.00(2 new offers)</t>
  </si>
  <si>
    <t>B08TLTY94C</t>
  </si>
  <si>
    <t>_x000D_
_x000D_
_x000D_
_x000D_
_x000D_
_x000D_
_x000D_
_x000D_
_x000D_
KRUPS EA895N40 Evidence One Automatic Coffee Machine, Espresso, Cappuccino, 2.3 liters, Meteor Grey, 17 Drink Options, Bean to Cup_x000D_
 _x000D_
_x000D_
3.8_x000D_
3.8 out of 5 stars_x000D_
 (115)  _x000D_
_x000D_
_x000D_
Price, product page£549.00£549.00_x000D_
_x000D_
_x000D_
_x000D_
_x000D_
_x000D_
_x000D_
_x000D_
_x000D_
FREE delivery 11 - 12 Mar_x000D_
_x000D_
Only 2 left in stock._x000D_
_x000D_
_x000D_
_x000D_
_x000D_
_x000D_
_x000D_
_x000D_
_x000D_
_x000D_
_x000D_
_x000D_
_x000D_
_x000D_
_x000D_
Add to basket</t>
  </si>
  <si>
    <t>B00KCL8ZZO</t>
  </si>
  <si>
    <t>_x000D_
_x000D_
_x000D_
_x000D_
_x000D_
_x000D_
_x000D_
_x000D_
_x000D_
Krups F30908 Espresso machine 1.25L Black coffee maker - coffee makers (Freestanding, Manual, Espresso machine, Ground coffee, Espresso, Black)_x000D_
 _x000D_
_x000D_
4.3_x000D_
4.3 out of 5 stars_x000D_
 (4.1K)  _x000D_
_x000D_
_x000D_
Price, product page£79.99£79.99_x000D_
_x000D_
_x000D_
_x000D_
_x000D_
_x000D_
_x000D_
_x000D_
_x000D_
FREE delivery Tue 10 Mar_x000D_
_x000D_
_x000D_
Or fastest delivery Tomorrow, 8 Mar_x000D_
_x000D_
Only 2 left in stock._x000D_
_x000D_
_x000D_
_x000D_
_x000D_
_x000D_
_x000D_
_x000D_
_x000D_
_x000D_
_x000D_
_x000D_
_x000D_
_x000D_
_x000D_
Add to basket</t>
  </si>
  <si>
    <t>B07CV1RHZX</t>
  </si>
  <si>
    <t>_x000D_
_x000D_
_x000D_
_x000D_
_x000D_
_x000D_
_x000D_
_x000D_
_x000D_
Krups YY2912FD – Coffee Maker (Freestanding, Espresso Machine, 0.6 L, Coffee Capsule, 1200 W, Black, White)_x000D_
 _x000D_
_x000D_
4.4_x000D_
4.4 out of 5 stars_x000D_
 (1.4K)  _x000D_
_x000D_
_x000D_
Price, product page£139.99£139.99_x000D_
_x000D_
_x000D_
_x000D_
_x000D_
_x000D_
_x000D_
_x000D_
_x000D_
FREE delivery 12 - 13 Mar_x000D_
_x000D_
Only 1 left in stock._x000D_
_x000D_
_x000D_
_x000D_
_x000D_
_x000D_
_x000D_
_x000D_
_x000D_
_x000D_
_x000D_
_x000D_
_x000D_
_x000D_
_x000D_
Add to basket</t>
  </si>
  <si>
    <t>B00CJG1OHQ</t>
  </si>
  <si>
    <t>_x000D_
_x000D_
_x000D_
_x000D_
_x000D_
_x000D_
_x000D_
_x000D_
_x000D_
La Pavoni Professional PRG Independent Semi-Automatic Espresso Machine 1.6L 16 Cups Gold – Coffee Maker (Freestanding, Espresso Machine, 1.6 L, Ground Coffee, 1000 W, Gold)_x000D_
 _x000D_
_x000D_
2.0_x000D_
2.0 out of 5 stars_x000D_
 (3)  _x000D_
_x000D_
_x000D_
Price, product page£956.00£956.00_x000D_
_x000D_
_x000D_
_x000D_
_x000D_
_x000D_
_x000D_
_x000D_
_x000D_
£25 delivery 19 - 21 Mar_x000D_
_x000D_
_x000D_
Or fastest delivery 14 - 16 Mar_x000D_
_x000D_
Only 1 left in stock._x000D_
_x000D_
_x000D_
_x000D_
_x000D_
_x000D_
_x000D_
_x000D_
_x000D_
_x000D_
_x000D_
_x000D_
_x000D_
_x000D_
_x000D_
Add to basket</t>
  </si>
  <si>
    <t>B09HV3XK14</t>
  </si>
  <si>
    <t>_x000D_
_x000D_
_x000D_
_x000D_
_x000D_
_x000D_
_x000D_
_x000D_
_x000D_
lakeland Coffee Pod Machine White – 20-Bar Capsule Machine Compatible With Nespresso &amp; NX Capsules_x000D_
 _x000D_
_x000D_
3.7_x000D_
3.7 out of 5 stars_x000D_
 (132)  _x000D_
40+ bought in past month_x000D_
_x000D_
_x000D_
_x000D_
Price, product page£79.99£79.99 RRP: £99.99_x000D_
RRP: £99.99£99.99_x000D_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£79.00(3 new offers)</t>
  </si>
  <si>
    <t>B07BKYKFSV</t>
  </si>
  <si>
    <t>_x000D_
_x000D_
_x000D_
_x000D_
_x000D_
_x000D_
_x000D_
_x000D_
_x000D_
Lavazza A Modo Mio Jolie &amp; Milk Coffee Machine, with Milk Frother,1000 ml, Black_x000D_
 _x000D_
_x000D_
4.5_x000D_
4.5 out of 5 stars_x000D_
 (114)  _x000D_
_x000D_
_x000D_
Price, product page£169.99£169.99_x000D_
_x000D_
_x000D_
_x000D_
_x000D_
_x000D_
_x000D_
_x000D_
_x000D_
FREE delivery 13 - 14 Mar_x000D_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basket_x000D_
_x000D_
_x000D_
_x000D_
_x000D_
_x000D_
_x000D_
_x000D_
_x000D_
More buying choices_x000D_
£169.95(2 new offers)</t>
  </si>
  <si>
    <t>B094NSDC5M</t>
  </si>
  <si>
    <t>_x000D_
_x000D_
_x000D_
_x000D_
_x000D_
_x000D_
_x000D_
_x000D_
_x000D_
Lavazza Blue LB1050 Classy Custom Milk Capsule Coffee Machine - Espresso, Cappuccino Coffee Machine for Lavazza Blue Capsules_x000D_
 _x000D_
_x000D_
2.3_x000D_
2.3 out of 5 stars_x000D_
 (2)  _x000D_
_x000D_
_x000D_
Price, product page£272.85£272.85_x000D_
_x000D_
_x000D_
_x000D_
_x000D_
_x000D_
_x000D_
_x000D_
_x000D_
FREE delivery Mon 14 Sept, 2026_x000D_
_x000D_
_x000D_
_x000D_
_x000D_
_x000D_
_x000D_
_x000D_
_x000D_
_x000D_
_x000D_
_x000D_
_x000D_
_x000D_
_x000D_
Add to basket</t>
  </si>
  <si>
    <t>B0D8LMW1LG</t>
  </si>
  <si>
    <t>_x000D_
_x000D_
_x000D_
_x000D_
_x000D_
_x000D_
_x000D_
_x000D_
_x000D_
Lavazza, A Modo Mio Jolie EVO, Coffee Capsule Machine, Made from 36% Recycled Plastic, Compatible with A Modo Mio Pods, with Removable Cup Rest, Automatic Shut-Off, 1250 W, 220–240 V, 50–60 Hz, Black_x000D_
 _x000D_
_x000D_
4.4_x000D_
4.4 out of 5 stars_x000D_
 (886)  _x000D_
100+ bought in past month_x000D_
_x000D_
_x000D_
_x000D_
Price, product page£66.00£66.00 RRP: £99.00_x000D_
RRP: £99.00£99.00_x000D_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</si>
  <si>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B0DDYRZ1PG</t>
  </si>
  <si>
    <t>_x000D_
_x000D_
_x000D_
_x000D_
_x000D_
_x000D_
_x000D_
_x000D_
_x000D_
Lavazza, Espresso Italiano Classico, Coffee Beans, Ideal for Espresso Coffee Machines, with Flowery &amp; Fruity Aromatic Notes, Intensity 5/10, 100% Arabica, Light Roast, 1 kg x2_x000D_
 _x000D_
_x000D_
Whole Bean_x000D_
_x000D_
_x000D_
4.7_x000D_
4.7 out of 5 stars_x000D_
 (33)  _x000D_
200+ bought in past month_x000D_
_x000D_
_x000D_
_x000D_
Price, product page£42.00£42.00 (£21.00£21.00/kg)_x000D_
_x000D_
_x000D_
_x000D_
_x000D_
_x000D_
_x000D_
_x000D_
_x000D_
FREE delivery Tue 10 Mar_x000D_
_x000D_
_x000D_
Or fastest delivery Tomorrow, 8 Mar_x000D_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</si>
  <si>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B0FDKYVQN7</t>
  </si>
  <si>
    <t>_x000D_
_x000D_
_x000D_
_x000D_
_x000D_
_x000D_
_x000D_
_x000D_
_x000D_
Maestri House Portable Coffee Maker with 2-3 Min Fast Self-Heating, Travel Espresso Coffee Machine with Small Tea Cup Also Holder for NS Capsule &amp; Ground Coffee for Car Camping, RV, Hiking_x000D_
 _x000D_
_x000D_
4.1_x000D_
4.1 out of 5 stars_x000D_
 (14)  _x000D_
_x000D_
_x000D_
Price, product page£74.99£74.99 Was: £78.99_x000D_
Was: £78.99£78.99_x000D_
_x000D_
_x000D_
Exclusive Prime price_x000D_
_x000D_
_x000D_
_x000D_
_x000D_
_x000D_
_x000D_
_x000D_
See options</t>
  </si>
  <si>
    <t>B0FLY6FSNW</t>
  </si>
  <si>
    <t>B09N4FPN1X</t>
  </si>
  <si>
    <t>_x000D_
_x000D_
_x000D_
_x000D_
_x000D_
_x000D_
_x000D_
_x000D_
_x000D_
Melitta Automatic Espresso Machine, Purista Model, F230-102, Black, series 300 &amp; 6758122 Cremio II Milk Frother, Bamboo, 450 W, Black_x000D_
 _x000D_
_x000D_
_x000D_
Price, product page£345.99£345.99_x000D_
_x000D_
_x000D_
_x000D_
_x000D_
_x000D_
_x000D_
_x000D_
_x000D_
Delivery Tomorrow, 8 Mar_x000D_
_x000D_
_x000D_
_x000D_
_x000D_
_x000D_
_x000D_
_x000D_
_x000D_
_x000D_
_x000D_
_x000D_
_x000D_
_x000D_
_x000D_
Add to basket</t>
  </si>
  <si>
    <t>B0FSRZBQQP</t>
  </si>
  <si>
    <t>_x000D_
_x000D_
_x000D_
_x000D_
_x000D_
_x000D_
_x000D_
_x000D_
_x000D_
MisterChef® Café Luxe Multi-Capsule Espresso &amp; Coffee Machine – 20-Bar Pump – Compatible with Nespresso® &amp; ESE Pods – Built-In Milk Frother for Cappuccino &amp; Latte – UK Plug_x000D_
 _x000D_
_x000D_
3.5_x000D_
3.5 out of 5 stars_x000D_
 (17)  _x000D_
_x000D_
_x000D_
Price, product page£289.99£289.99_x000D_
_x000D_
_x000D_
15% off coupon applied_x000D_
Save 15%  with voucher_x000D_
 _x000D_
_x000D_
_x000D_
_x000D_
_x000D_
_x000D_
_x000D_
FREE delivery Tue 10 Mar_x000D_
_x000D_
_x000D_
Or fastest delivery Tomorrow, 8 Mar_x000D_
_x000D_
Only 1 left in stock._x000D_
_x000D_
_x000D_
_x000D_
_x000D_
_x000D_
_x000D_
_x000D_
 Small Business_x000D_
_x000D_
_x000D_
_x000D_
_x000D_
_x000D_
Small Business_x000D_
Shop for products from small business brands sold in Amazon’s store. Discover more about the small businesses partnering with Amazon, and Amazon’s commitment to empowering them. Learn more _x000D_
_x000D_
_x000D_
_x000D_
_x000D_
_x000D_
_x000D_
_x000D_
_x000D_
_x000D_
_x000D_
_x000D_
_x000D_
_x000D_
_x000D_
Add to basket_x000D_
_x000D_
_x000D_
_x000D_
_x000D_
_x000D_
_x000D_
_x000D_
_x000D_
More buying choices_x000D_
£289.98(2 new offers)</t>
  </si>
  <si>
    <t>B0BX4JH2KZ</t>
  </si>
  <si>
    <t>_x000D_
_x000D_
_x000D_
_x000D_
_x000D_
_x000D_
_x000D_
_x000D_
_x000D_
Morphy Richards Compact Espresso Machine, Dual Cup, 1L Water tank, Variable Steam Control and Milk Frother Wand, Ground Coffee and ESE Pod Compatible, Stainless Steel, 172022_x000D_
 _x000D_
_x000D_
4.1_x000D_
4.1 out of 5 stars_x000D_
 (277)  _x000D_
_x000D_
_x000D_
Price, product page£147.89£147.89 RRP: £169.99_x000D_
RRP: £169.99£169.99_x000D_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</si>
  <si>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B0DP9JRRPV</t>
  </si>
  <si>
    <t>_x000D_
_x000D_
_x000D_
_x000D_
_x000D_
_x000D_
_x000D_
_x000D_
_x000D_
Multifunctional 4 in 1 Espresso Coffee Machine, 19 Bar, for NES-presso Original/lor/Dolce Gusto/Ground Coffee Capsules Small Automatic Capsule Coffee Machine(Gray)_x000D_
 _x000D_
_x000D_
1.6_x000D_
1.6 out of 5 stars_x000D_
 (8)  _x000D_
_x000D_
_x000D_
Price, product page£92.99£92.99_x000D_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t>
  </si>
  <si>
    <t>B0DQ3NNJ5X</t>
  </si>
  <si>
    <t>_x000D_
_x000D_
_x000D_
_x000D_
_x000D_
_x000D_
_x000D_
_x000D_
_x000D_
Multifunctional 4 in 1 Espresso Machine, 19Bar Pressure Single Serve Coffee Maker for Nespresso Original Capsule K-cup Capsule LOR Dolce Gusto Ground Coffee, Orange_x000D_
 _x000D_
_x000D_
3.1_x000D_
3.1 out of 5 stars_x000D_
 (14)  _x000D_
_x000D_
_x000D_
Price, product page£86.63£86.63 Was: £91.19_x000D_
Was: £91.19£91.19_x000D_
_x000D_
_x000D_
_x000D_
_x000D_
_x000D_
_x000D_
_x000D_
_x000D_
FREE delivery Tue 10 Mar_x000D_
_x000D_
_x000D_
Or fastest delivery Tomorrow, 8 Mar_x000D_
_x000D_
Only 10 left in stock._x000D_
_x000D_
_x000D_
_x000D_
_x000D_
_x000D_
_x000D_
_x000D_
_x000D_
_x000D_
_x000D_
_x000D_
_x000D_
_x000D_
_x000D_
Add to basket</t>
  </si>
  <si>
    <t>B0DN1D2TDP</t>
  </si>
  <si>
    <t>_x000D_
_x000D_
_x000D_
_x000D_
_x000D_
_x000D_
_x000D_
_x000D_
_x000D_
Multifunctional 4 in1 Espresso Machine, 19Bar Pressure Single Serve Coffee Maker for Nespresso Original Capsule/K-cup Capsule/L’OR Ne'spresso Original Capsule/Do'lce Gusto/Ground Coffee (Gray)_x000D_
 _x000D_
_x000D_
1.5_x000D_
1.5 out of 5 stars_x000D_
 (5)  _x000D_
_x000D_
_x000D_
Price, product page£93.99£93.99 Was: £99.99_x000D_
Was: £99.99£99.99_x000D_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</si>
  <si>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B0F7XBSXDT</t>
  </si>
  <si>
    <t>_x000D_
_x000D_
_x000D_
_x000D_
_x000D_
_x000D_
_x000D_
_x000D_
_x000D_
Multifunctional Small Pod Coffee Machine for Nespresso Original, Dolce Gusto Coffee Capsule and Espresso Ground Coffee, Programmable Water Volume, 19Bar, 1450W (Black-UK)_x000D_
 _x000D_
_x000D_
3.9_x000D_
3.9 out of 5 stars_x000D_
 (232)  _x000D_
30+ bought in past month_x000D_
_x000D_
_x000D_
_x000D_
Limited time deal_x000D_
_x000D_
_x000D_
Price, product page£78.87£78.87 RRP: £99.99_x000D_
RRP: £99.99£99.99_x000D_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</si>
  <si>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B07Z92BYLJ</t>
  </si>
  <si>
    <t>_x000D_
_x000D_
_x000D_
_x000D_
_x000D_
_x000D_
_x000D_
_x000D_
_x000D_
NESCAFÉ Dolce Gusto EDG155.BG Mini-Me Automatic Coffee Machine Black &amp; Arctic Grey by De’Longhi - Starter Kit_x000D_
 _x000D_
_x000D_
4.5_x000D_
4.5 out of 5 stars_x000D_
 (9.8K)  _x000D_
1K+ bought in past month_x000D_
_x000D_
_x000D_
_x000D_
Price, product page£59.00£59.00_x000D_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£39.93(5+ used &amp; new offers)</t>
  </si>
  <si>
    <t>B0CVQH5GYJ</t>
  </si>
  <si>
    <t>_x000D_
_x000D_
_x000D_
_x000D_
_x000D_
_x000D_
_x000D_
_x000D_
_x000D_
NESCAFÉ Dolce Gusto EDG210.B Piccolo XS Manual Coffee Machine Black by DeLonghi - Value Bundle_x000D_
 _x000D_
_x000D_
4.4_x000D_
4.4 out of 5 stars_x000D_
 (1.4K)  _x000D_
1K+ bought in past month_x000D_
_x000D_
_x000D_
_x000D_
Price, product page£59.99£59.99_x000D_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£25.89(2+ used &amp; new offers)</t>
  </si>
  <si>
    <t>B0CKHYSRRF</t>
  </si>
  <si>
    <t>_x000D_
_x000D_
_x000D_
_x000D_
_x000D_
_x000D_
_x000D_
_x000D_
_x000D_
Nespresso - Vertuo Creatista Capsule Coffee Machine with Milk Frother Wand for Cappuccino, Flat White and Espresso by Sage, Brushed Stainless SteelNespresso - Vertuo Creatista Capsule Coffee Machine with Mil…_x000D_
_x000D_
4.2 _x000D_
4.2 out of 5 stars._x000D_
 (67)_x000D_
_x000D_
£398.50£398.50_x000D_
_x000D_
_x000D_
_x000D_
RRP: £649.99</t>
  </si>
  <si>
    <t>B01MZANINV</t>
  </si>
  <si>
    <t>_x000D_
_x000D_
_x000D_
_x000D_
_x000D_
_x000D_
_x000D_
_x000D_
_x000D_
NESPRESSO by KRUPS Essenza Mini XN110140 Coffee Machine - 0.6L, White_x000D_
 _x000D_
_x000D_
4.4_x000D_
4.4 out of 5 stars_x000D_
 (701)  _x000D_
_x000D_
_x000D_
Price, product page£127.99£127.99_x000D_
_x000D_
_x000D_
_x000D_
_x000D_
_x000D_
_x000D_
_x000D_
_x000D_
FREE delivery Mon 16 Mar_x000D_
_x000D_
_x000D_
_x000D_
_x000D_
_x000D_
_x000D_
_x000D_
_x000D_
_x000D_
_x000D_
_x000D_
_x000D_
_x000D_
_x000D_
Add to basket_x000D_
_x000D_
_x000D_
_x000D_
_x000D_
_x000D_
_x000D_
_x000D_
Energy Efficiency Class: A</t>
  </si>
  <si>
    <t>B00G5YOVZA</t>
  </si>
  <si>
    <t>_x000D_
_x000D_
_x000D_
_x000D_
_x000D_
_x000D_
_x000D_
_x000D_
_x000D_
Nespresso DeLonghi EN 80.B - Inissia Capsule Coffee Pod Machine - Auto Brew Stop, fast Heat-up, auto Off - 0.8 Liters, 19 Bar - incl. 16 Pods - black_x000D_
 _x000D_
_x000D_
3.9_x000D_
3.9 out of 5 stars_x000D_
 (44.2K)  _x000D_
300+ bought in past month_x000D_
_x000D_
_x000D_
_x000D_
Price, product page£95.39£95.39 Was: £98.68_x000D_
Was: £98.68£98.68_x000D_
_x000D_
_x000D_
_x000D_
_x000D_
_x000D_
_x000D_
_x000D_
_x000D_
FREE delivery Tue 10 Mar_x000D_
_x000D_
_x000D_
Or fastest delivery Tomorrow, 8 Mar_x000D_
_x000D_
Only 9 left in stock._x000D_
_x000D_
_x000D_
_x000D_
_x000D_
_x000D_
_x000D_
_x000D_
_x000D_
_x000D_
_x000D_
_x000D_
_x000D_
_x000D_
_x000D_
Add to basket</t>
  </si>
  <si>
    <t>B072X1M76L</t>
  </si>
  <si>
    <t>_x000D_
_x000D_
_x000D_
_x000D_
_x000D_
_x000D_
_x000D_
_x000D_
_x000D_
Nespresso Vertuo Coffee and Espresso Machine by De'Longhi, 1597 milliliters, Silver_x000D_
 _x000D_
_x000D_
4.2_x000D_
4.2 out of 5 stars_x000D_
 (668)  _x000D_
_x000D_
_x000D_
Price, product page£231.78£231.78_x000D_
_x000D_
_x000D_
_x000D_
_x000D_
_x000D_
_x000D_
_x000D_
_x000D_
_x000D_
_x000D_
_x000D_
_x000D_
_x000D_
_x000D_
_x000D_
_x000D_
_x000D_
_x000D_
Add to basket</t>
  </si>
  <si>
    <t>B075JM8X42</t>
  </si>
  <si>
    <t>_x000D_
_x000D_
_x000D_
_x000D_
_x000D_
_x000D_
_x000D_
_x000D_
_x000D_
Nespresso Vertuo Plus Automatic Pod coffee machine for Americano, Decaf, Espresso by Magimix in Silver_x000D_
 _x000D_
_x000D_
4.4_x000D_
4.4 out of 5 stars_x000D_
 (972)  _x000D_
_x000D_
_x000D_
Price, product page£225.15£225.15_x000D_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t>
  </si>
  <si>
    <t>B0D1KSJQVZ</t>
  </si>
  <si>
    <t>_x000D_
_x000D_
_x000D_
_x000D_
_x000D_
_x000D_
_x000D_
_x000D_
_x000D_
Nespresso Vertuo Pop Barista Coffee Machine Bundle by De'Longhi, Compact Footprint, Starter Kit Includes Coffee Capsules, Mugs, Milk Frother And Spoons, ENV90.B+CapsNespresso Vertuo Pop Barista Coffee Machine Bundle by De'Lo…_x000D_
_x000D_
4.2 _x000D_
4.2 out of 5 stars._x000D_
 (177)_x000D_
_x000D_
_x000D_
Limited time deal_x000D_
_x000D_
_x000D_
-35%£129.00£129.00_x000D_
_x000D_
_x000D_
_x000D_
RRP: £199.00</t>
  </si>
  <si>
    <t>B0F19FRMQ6</t>
  </si>
  <si>
    <t>_x000D_
_x000D_
_x000D_
_x000D_
_x000D_
_x000D_
_x000D_
_x000D_
_x000D_
Nespresso Vertuo Pop Coffee Pod Machine by Krups, Compact, Starter Set Included, XN9206G0, LilacNespresso Vertuo Pop Coffee Pod Machine by Krups, Compact, Sta…_x000D_
_x000D_
4.4 _x000D_
4.4 out of 5 stars._x000D_
 (69)_x000D_
_x000D_
£99.99£99.99</t>
  </si>
  <si>
    <t>B0GPPP1MCX</t>
  </si>
  <si>
    <t>_x000D_
_x000D_
_x000D_
_x000D_
_x000D_
_x000D_
_x000D_
_x000D_
_x000D_
New Portable Espresso Machine, 3-in-1 Portable Coffee Maker with Self-Heating, 20 Bar, USB-C, LCD Display, Coffee Maker With Ground Coffee &amp; Capsule for RV, Camping, Hiking, Office_x000D_
 _x000D_
_x000D_
5.0_x000D_
5.0 out of 5 stars_x000D_
 (4)  _x000D_
New on Amazon in past month_x000D_
_x000D_
_x000D_
_x000D_
Price, product page£52.98£52.98_x000D_
_x000D_
_x000D_
8% off coupon applied_x000D_
Save 8%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</si>
  <si>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B0FTH364BM</t>
  </si>
  <si>
    <t>_x000D_
_x000D_
_x000D_
_x000D_
_x000D_
_x000D_
_x000D_
_x000D_
_x000D_
NGT 3-in-1 Portable Espresso Coffee Maker Self - Heating Compatible with Big &amp; Small Capsules and Ground Coffee USB-C Rechargeable, Carry Case Camping Fishing Travel &amp; Office_x000D_
 _x000D_
_x000D_
5.0_x000D_
5.0 out of 5 stars_x000D_
 (2)  _x000D_
_x000D_
_x000D_
Price, product page£59.85£59.85_x000D_
_x000D_
_x000D_
Buy any 01, Save 5%_x000D_
_x000D_
_x000D_
_x000D_
_x000D_
_x000D_
_x000D_
_x000D_
FREE delivery 10 - 11 Mar_x000D_
_x000D_
_x000D_
_x000D_
_x000D_
_x000D_
_x000D_
_x000D_
_x000D_
_x000D_
_x000D_
_x000D_
_x000D_
_x000D_
_x000D_
Add to basket</t>
  </si>
  <si>
    <t>B0D3BV4JG1</t>
  </si>
  <si>
    <t>_x000D_
_x000D_
_x000D_
_x000D_
_x000D_
_x000D_
_x000D_
_x000D_
_x000D_
Normcore Espresso Tamping Station, Genuine American Black Ashwood, Coffee Tamper, Distributor, WDT, Puck Screen, Portafilter Holder Stand, Solid Black Ashwood for 58mm Espresso Machine Accessories_x000D_
 _x000D_
_x000D_
4.1_x000D_
4.1 out of 5 stars_x000D_
 (140)  _x000D_
_x000D_
_x000D_
Price, product page£57.79£57.79_x000D_
_x000D_
_x000D_
_x000D_
_x000D_
_x000D_
_x000D_
_x000D_
_x000D_
_x000D_
_x000D_
_x000D_
_x000D_
_x000D_
_x000D_
_x000D_
_x000D_
_x000D_
_x000D_
Add to basket</t>
  </si>
  <si>
    <t>B00CWXU9FO</t>
  </si>
  <si>
    <t>_x000D_
_x000D_
_x000D_
_x000D_
_x000D_
_x000D_
_x000D_
_x000D_
_x000D_
OutIn Mino Portable Electric Espresso Machine, Mini Camping Coffee Maker for Travel, Pocket Sized Coffee Machine Self-Heating with USB-C, Ground Coffee &amp; NS Capsule Adapter For Adventure_x000D_
 _x000D_
_x000D_
4.6_x000D_
4.6 out of 5 stars_x000D_
 (216)  _x000D_
30+ bought in past month_x000D_
_x000D_
_x000D_
_x000D_
Price, product page£189.99£189.99_x000D_
_x000D_
_x000D_
£10.00 off coupon applied_x000D_
Save £10.00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</si>
  <si>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B0GFW8178P</t>
  </si>
  <si>
    <t>_x000D_
_x000D_
_x000D_
_x000D_
_x000D_
_x000D_
_x000D_
_x000D_
_x000D_
OutIn Nano Portable Electric Espresso Machine Fino Portable Electric Coffee Grinder_x000D_
 _x000D_
_x000D_
_x000D_
Price, product page£271.98£271.98 Was: £319.98_x000D_
Was: £319.98£319.98_x000D_
_x000D_
_x000D_
_x000D_
_x000D_
_x000D_
_x000D_
_x000D_
_x000D_
Delivery Tomorrow, 8 Mar_x000D_
_x000D_
_x000D_
_x000D_
_x000D_
_x000D_
_x000D_
_x000D_
_x000D_
_x000D_
_x000D_
_x000D_
_x000D_
_x000D_
_x000D_
Add to basket</t>
  </si>
  <si>
    <t>B0B5YBCGTJ</t>
  </si>
  <si>
    <t>_x000D_
_x000D_
_x000D_
_x000D_
_x000D_
_x000D_
_x000D_
_x000D_
_x000D_
Petra PT5240 Espresso Coffee Machine - Milk Frothing Wand, 1.4L, Single &amp; Double Shot, Stylish &amp; Compact, 15-Bar Pressure, Barista Style Coffee, Latte, Cappuccino, Ground Coffee Compatible, 1465W_x000D_
 _x000D_
_x000D_
3.4_x000D_
3.4 out of 5 stars_x000D_
 (57)  _x000D_
_x000D_
_x000D_
Price, product page£81.32£81.32_x000D_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£62.55(2 used &amp; new offers)</t>
  </si>
  <si>
    <t>B09MD69Z35</t>
  </si>
  <si>
    <t>_x000D_
_x000D_
_x000D_
_x000D_
_x000D_
_x000D_
_x000D_
_x000D_
_x000D_
Philips 2200 Series Bean to Cup Coffee Machine - 2 Coffee Varieties, Classic Milk Frother &amp; Cappuccino Maker, Quick-to-Clean, Ceramic Grinder, Fully Automatic Espresso machine - Black (EP2220/10)_x000D_
 _x000D_
_x000D_
_x000D_
Options:_x000D_
6 sizes6 sizes_x000D_
_x000D_
4.3_x000D_
4.3 out of 5 stars_x000D_
 (2K)  _x000D_
100+ bought in past month_x000D_
_x000D_
_x000D_
_x000D_
Price, product page£256.00£256.00_x000D_
_x000D_
_x000D_
_x000D_
_x000D_
_x000D_
_x000D_
_x000D_
_x000D_
FREE delivery 11 - 12 Mar_x000D_
_x000D_
_x000D_
_x000D_
_x000D_
_x000D_
_x000D_
_x000D_
_x000D_
_x000D_
_x000D_
_x000D_
_x000D_
_x000D_
_x000D_
Add to basket_x000D_
_x000D_
_x000D_
_x000D_
_x000D_
_x000D_
_x000D_
_x000D_
_x000D_
More buying choices_x000D_
£182.56(4+ used &amp; new offers)</t>
  </si>
  <si>
    <t>B0D18C7TMZ</t>
  </si>
  <si>
    <t>_x000D_
_x000D_
_x000D_
_x000D_
_x000D_
_x000D_
_x000D_
_x000D_
_x000D_
Philips Barista Brew Espresso Machine - Intuitive Guidance. Calibrated Tamping. Elegant Design. 280g Dual Bean Container with Aroma Seal. Semi Automatic Espresso Machine. Metal Silver (PSA3228/01)_x000D_
 _x000D_
_x000D_
4.1_x000D_
4.1 out of 5 stars_x000D_
 (59)  _x000D_
_x000D_
_x000D_
Price, product page£574.99£574.99_x000D_
_x000D_
_x000D_
_x000D_
_x000D_
_x000D_
_x000D_
_x000D_
_x000D_
FREE delivery Tue 10 Mar_x000D_
_x000D_
_x000D_
Or fastest delivery Tomorrow, 8 Mar_x000D_
_x000D_
Only 1 left in stock._x000D_
_x000D_
_x000D_
_x000D_
_x000D_
_x000D_
_x000D_
_x000D_
_x000D_
_x000D_
_x000D_
_x000D_
_x000D_
_x000D_
_x000D_
Add to basket_x000D_
_x000D_
_x000D_
_x000D_
_x000D_
_x000D_
_x000D_
_x000D_
_x000D_
More buying choices_x000D_
£240.92(3 used &amp; new offers)</t>
  </si>
  <si>
    <t>B0D182NF8J</t>
  </si>
  <si>
    <t>_x000D_
_x000D_
_x000D_
_x000D_
_x000D_
_x000D_
_x000D_
_x000D_
_x000D_
Philips Barista Brew Semi Automatic Espresso Machine - Single &amp; Double Espresso + Americano Button, 250g Bean Container, Intuitive Guidance, Calibrated Tamping, Metal Black (PSA3218/10)_x000D_
 _x000D_
_x000D_
4.1_x000D_
4.1 out of 5 stars_x000D_
 (72)  _x000D_
_x000D_
_x000D_
Price, product page£385.00£385.00 RRP: £529.99_x000D_
RRP: £529.99£529.99_x000D_
_x000D_
_x000D_
Buy any 2, Save 5%_x000D_
_x000D_
_x000D_
_x000D_
_x000D_
_x000D_
_x000D_
_x000D_
FREE delivery Tue 10 Mar_x000D_
_x000D_
_x000D_
Or fastest delivery Tomorrow, 8 Mar_x000D_
_x000D_
Only 2 left in stock._x000D_
_x000D_
_x000D_
_x000D_
_x000D_
_x000D_
_x000D_
_x000D_
_x000D_
_x000D_
_x000D_
_x000D_
_x000D_
_x000D_
_x000D_
Add to basket_x000D_
_x000D_
_x000D_
_x000D_
_x000D_
_x000D_
_x000D_
_x000D_
_x000D_
More buying choices_x000D_
£235.07(6+ used &amp; new offers)</t>
  </si>
  <si>
    <t>B0D8TTJ2G6</t>
  </si>
  <si>
    <t>_x000D_
_x000D_
_x000D_
_x000D_
_x000D_
_x000D_
_x000D_
_x000D_
_x000D_
Philips Baristina Espresso Machine - Real espresso, made simple. Compact coffee machine, natural white with white portafilter, 16 bar pump pressure, automatic grinder, Cafe Crema (BAR300/00)_x000D_
 _x000D_
_x000D_
3.4_x000D_
3.4 out of 5 stars_x000D_
 (103)  _x000D_
_x000D_
_x000D_
Price, product page£299.99£299.99_x000D_
_x000D_
_x000D_
_x000D_
_x000D_
_x000D_
_x000D_
_x000D_
_x000D_
FREE delivery 11 - 12 Mar_x000D_
_x000D_
_x000D_
_x000D_
_x000D_
_x000D_
_x000D_
_x000D_
_x000D_
_x000D_
_x000D_
_x000D_
_x000D_
_x000D_
_x000D_
Add to basket</t>
  </si>
  <si>
    <t>B0D66FJJWT</t>
  </si>
  <si>
    <t>_x000D_
_x000D_
_x000D_
_x000D_
_x000D_
_x000D_
_x000D_
_x000D_
_x000D_
Philips Baristina Espresso Machine, Grind, Tamp &amp; Brew Coffee Beans in One Swipe, Compact, 16 Bar Pump Pressure, Automatic Grinder, Black with Black Portafilter (BAR300/60)_x000D_
 _x000D_
_x000D_
3.4_x000D_
3.4 out of 5 stars_x000D_
 (248)  _x000D_
_x000D_
_x000D_
Price, product page£299.99£299.99_x000D_
_x000D_
_x000D_
_x000D_
_x000D_
_x000D_
_x000D_
_x000D_
_x000D_
FREE delivery 11 - 12 Mar_x000D_
_x000D_
_x000D_
_x000D_
_x000D_
_x000D_
_x000D_
_x000D_
_x000D_
_x000D_
_x000D_
_x000D_
_x000D_
_x000D_
_x000D_
Add to basket</t>
  </si>
  <si>
    <t>B0D66HPYXT</t>
  </si>
  <si>
    <t>_x000D_
_x000D_
_x000D_
_x000D_
_x000D_
_x000D_
_x000D_
_x000D_
_x000D_
Philips Baristina Espresso Machine+Milk Frother Bundle. Real espresso. Compact coffee machine, portafilter, grinder, Cafe Crema. Dairy &amp; Non-Dairy Milk foam​. Hot &amp; Cold. Easy Clean. Black (BAR303/60)_x000D_
 _x000D_
_x000D_
4.2_x000D_
4.2 out of 5 stars_x000D_
 (74)  _x000D_
_x000D_
_x000D_
Price, product page£379.99£379.99_x000D_
_x000D_
_x000D_
_x000D_
_x000D_
_x000D_
_x000D_
_x000D_
_x000D_
FREE delivery 11 - 12 Mar_x000D_
_x000D_
_x000D_
_x000D_
_x000D_
_x000D_
_x000D_
_x000D_
_x000D_
_x000D_
_x000D_
_x000D_
_x000D_
_x000D_
_x000D_
Add to basket</t>
  </si>
  <si>
    <t>B0D62R7YF1</t>
  </si>
  <si>
    <t>_x000D_
_x000D_
_x000D_
_x000D_
_x000D_
_x000D_
_x000D_
_x000D_
_x000D_
Philips Baristina Espresso Machine+Milk Frother Bundle. Real espresso. Compact coffee machine, portafilter, grinder, Cafe Crema. Dairy &amp; Non-Dairy Milk foam​. Hot &amp; Cold. Easy Clean. White (BAR303/00)_x000D_
 _x000D_
_x000D_
4.0_x000D_
4.0 out of 5 stars_x000D_
 (69)  _x000D_
_x000D_
_x000D_
Price, product page£299.99£299.99 RRP: £379.99_x000D_
RRP: £379.99£379.99_x000D_
_x000D_
_x000D_
_x000D_
_x000D_
_x000D_
_x000D_
_x000D_
_x000D_
FREE delivery 11 - 12 Mar_x000D_
_x000D_
_x000D_
_x000D_
_x000D_
_x000D_
_x000D_
_x000D_
_x000D_
_x000D_
_x000D_
_x000D_
_x000D_
_x000D_
_x000D_
Add to basket</t>
  </si>
  <si>
    <t>B0CRDM9HY1</t>
  </si>
  <si>
    <t>_x000D_
_x000D_
_x000D_
_x000D_
_x000D_
_x000D_
_x000D_
_x000D_
_x000D_
PHILIPS EP2331/10 Fully Automatic Espresso Machine_x000D_
 _x000D_
_x000D_
4.4_x000D_
4.4 out of 5 stars_x000D_
 (140)  _x000D_
_x000D_
_x000D_
Price, product page£395.20£395.20_x000D_
_x000D_
_x000D_
_x000D_
_x000D_
_x000D_
_x000D_
_x000D_
_x000D_
FREE delivery Tue 10 Mar_x000D_
_x000D_
_x000D_
Or fastest delivery Tomorrow, 8 Mar_x000D_
_x000D_
Only 2 left in stock._x000D_
_x000D_
_x000D_
_x000D_
_x000D_
_x000D_
_x000D_
_x000D_
_x000D_
_x000D_
_x000D_
_x000D_
_x000D_
_x000D_
_x000D_
Add to basket</t>
  </si>
  <si>
    <t>B0F3P2VS8H</t>
  </si>
  <si>
    <t>_x000D_
_x000D_
_x000D_
_x000D_
_x000D_
_x000D_
_x000D_
_x000D_
_x000D_
Philips L’OR BARISTA Absolu Capsule Coffee Machine – 19 Bar System, Dual Capsule Recognition, Enjoy Over Ice, Intensity Boost, XXL Capsules Compatible, Deep Black (LM9512/60)_x000D_
 _x000D_
_x000D_
4.6_x000D_
4.6 out of 5 stars_x000D_
 (64)  _x000D_
30+ bought in past month_x000D_
_x000D_
_x000D_
_x000D_
_x000D_
_x000D_
_x000D_
_x000D_
_x000D_
_x000D_
_x000D_
_x000D_
See options_x000D_
_x000D_
_x000D_
No featured offers available_x000D_
£88.85(25 used &amp; new offers)</t>
  </si>
  <si>
    <t>B0B3RMFCNF</t>
  </si>
  <si>
    <t>_x000D_
_x000D_
_x000D_
_x000D_
_x000D_
_x000D_
_x000D_
_x000D_
_x000D_
PHILIPS L'OR BARISTA Coffee Capsule Machine &amp; Milk Frother, for Double or Single Capsule, Black (LM8014/60)_x000D_
 _x000D_
_x000D_
4.4_x000D_
4.4 out of 5 stars_x000D_
 (467)  _x000D_
100+ bought in past month_x000D_
_x000D_
_x000D_
_x000D_
_x000D_
_x000D_
_x000D_
_x000D_
_x000D_
_x000D_
_x000D_
_x000D_
See options_x000D_
_x000D_
_x000D_
No featured offers available_x000D_
£80.60(8 used &amp; new offers)</t>
  </si>
  <si>
    <t>B0B3RP5HS8</t>
  </si>
  <si>
    <t>_x000D_
_x000D_
_x000D_
_x000D_
_x000D_
_x000D_
_x000D_
_x000D_
_x000D_
Philips L'OR Barista Sublime Capsule Coffee Machine, Double Shot, 1 or 2 Cups, Full Coffee Menu, Black (LM9012/60)_x000D_
 _x000D_
_x000D_
4.4_x000D_
4.4 out of 5 stars_x000D_
 (2.2K)  _x000D_
1K+ bought in past month_x000D_
_x000D_
_x000D_
_x000D_
Price, product page£84.49£84.49 RRP: £109.99_x000D_
RRP: £109.99£109.99_x000D_
_x000D_
_x000D_
Buy any 3, Save 7%_x000D_
_x000D_
_x000D_
_x000D_
_x000D_
_x000D_
_x000D_
_x000D_
FREE delivery 14 - 15 Mar_x000D_
_x000D_
_x000D_
_x000D_
_x000D_
_x000D_
_x000D_
_x000D_
_x000D_
_x000D_
_x000D_
_x000D_
_x000D_
_x000D_
_x000D_
Add to basket_x000D_
_x000D_
_x000D_
_x000D_
_x000D_
_x000D_
_x000D_
_x000D_
_x000D_
More buying choices_x000D_
£56.46(7+ used &amp; new offers)</t>
  </si>
  <si>
    <t>B0B3RQZWR7</t>
  </si>
  <si>
    <t>_x000D_
_x000D_
_x000D_
_x000D_
_x000D_
_x000D_
_x000D_
_x000D_
_x000D_
Philips L'OR BARISTA Sublime Coffee Capsule Machine by Philips, for Double or Single Capsule, Red (LM9012/50)_x000D_
 _x000D_
_x000D_
4.5_x000D_
4.5 out of 5 stars_x000D_
 (752)  _x000D_
50+ bought in past month_x000D_
_x000D_
_x000D_
_x000D_
_x000D_
_x000D_
_x000D_
_x000D_
_x000D_
_x000D_
_x000D_
_x000D_
See options_x000D_
_x000D_
_x000D_
No featured offers available_x000D_
£58.32(7 used &amp; new offers)</t>
  </si>
  <si>
    <t>B0FKBM1LC6</t>
  </si>
  <si>
    <t>_x000D_
_x000D_
_x000D_
_x000D_
_x000D_
_x000D_
_x000D_
_x000D_
_x000D_
Polti Coffea P10S, Manual Espresso and Cappuccino Coffee Machine, Compatible with Ground Coffee and 44 mm E.S.E. Pods, Milk Frother, Removable 1.3L Tank, Silver_x000D_
 _x000D_
_x000D_
5.0_x000D_
5.0 out of 5 stars_x000D_
 (1)  _x000D_
_x000D_
_x000D_
Price, product page£99.99£99.99 RRP: £199.00_x000D_
RRP: £199.00£199.00_x000D_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</si>
  <si>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B0FQP6NV59</t>
  </si>
  <si>
    <t>_x000D_
_x000D_
_x000D_
_x000D_
_x000D_
_x000D_
_x000D_
_x000D_
_x000D_
Polti Coffea S15B Espresso Coffee Machine, Compatible with 44 mm E.S.E. Pods, 0.85L Water Tank, Black Color_x000D_
 _x000D_
_x000D_
_x000D_
Price, product page£153.21£153.21_x000D_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t>
  </si>
  <si>
    <t>B0G5YCGZQ8</t>
  </si>
  <si>
    <t>_x000D_
_x000D_
_x000D_
_x000D_
_x000D_
_x000D_
_x000D_
_x000D_
_x000D_
Portable Coffee Maker, Electric Espresso Machine, Travel Espresso Coffee Machine for Camping, Self-Heating &amp; USB-C Rechargeable With Ground Coffee &amp; NS Capsule for RV, Hiking, Office_x000D_
 _x000D_
_x000D_
4.3_x000D_
4.3 out of 5 stars_x000D_
 (20)  _x000D_
100+ bought in past month_x000D_
_x000D_
_x000D_
_x000D_
Price, product page£39.99£39.99_x000D_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</si>
  <si>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B0G58J6GVB</t>
  </si>
  <si>
    <t>_x000D_
_x000D_
_x000D_
_x000D_
_x000D_
_x000D_
_x000D_
_x000D_
_x000D_
Portable Electric Espresso Machine,3-in-1 Portable Coffee Maker with Self-Heating,USB-C Charger port,Coffee Maker With Ground Coffee &amp; NS Capsule for RV, Camping, Hiking, Office - Grey_x000D_
 _x000D_
_x000D_
5.0_x000D_
5.0 out of 5 stars_x000D_
 (10)  _x000D_
_x000D_
_x000D_
Price, product page£42.98£42.98 Was: £46.98_x000D_
Was: £46.98£46.98_x000D_
_x000D_
_x000D_
5% off coupon applied_x000D_
Save 5%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</si>
  <si>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B0FWRJ9SQD</t>
  </si>
  <si>
    <t>_x000D_
_x000D_
_x000D_
_x000D_
_x000D_
_x000D_
_x000D_
_x000D_
_x000D_
Portable Espresso Machine with Holder, 3 in 1 Travel Coffee Machine Self-Heating Electric Portable Coffee Maker with LCD USB Rechargeable for Capsules Ground Coffee for Camping, RV, Car, Hiking_x000D_
 _x000D_
_x000D_
5.0_x000D_
5.0 out of 5 stars_x000D_
 (1)  _x000D_
_x000D_
_x000D_
Limited time deal_x000D_
_x000D_
_x000D_
Price, product page£38.39£38.39 RRP: £47.99_x000D_
RRP: £47.99£47.99_x000D_
_x000D_
_x000D_
Buy £2.00, Save 5%_x000D_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</si>
  <si>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B0FPD2JGJP</t>
  </si>
  <si>
    <t>_x000D_
_x000D_
_x000D_
_x000D_
_x000D_
_x000D_
_x000D_
_x000D_
_x000D_
Portable Espresso Machine, Travel Coffee Machine, Car Self-Heating Coffee Maker with USB-C, Compatible With Ground Coffee &amp; NS Capsules, Portable Espresso Maker for RV, Home, Hiking, Black_x000D_
 _x000D_
_x000D_
5.0_x000D_
5.0 out of 5 stars_x000D_
 (2)  _x000D_
_x000D_
_x000D_
Price, product page£36.99£36.99 RRP: £38.99_x000D_
RRP: £38.99£38.99_x000D_
_x000D_
_x000D_
_x000D_
_x000D_
_x000D_
_x000D_
_x000D_
_x000D_
FREE delivery Tue 10 Mar_x000D_
_x000D_
_x000D_
Or fastest delivery Tomorrow, 8 Mar_x000D_
_x000D_
Only 7 left in stock._x000D_
_x000D_
_x000D_
_x000D_
_x000D_
_x000D_
_x000D_
_x000D_
_x000D_
_x000D_
_x000D_
_x000D_
_x000D_
_x000D_
_x000D_
Add to basket</t>
  </si>
  <si>
    <t>B0G63RB9TB</t>
  </si>
  <si>
    <t>_x000D_
_x000D_
_x000D_
_x000D_
_x000D_
_x000D_
_x000D_
_x000D_
_x000D_
Portable Espresso Machine,20Bar,7800mAh Rechargeable,3-in-1 for Nespresso、DG Capsules&amp;Ground Coffee, With self-Heating,One-Button Extraction,Electric coffee maker for car、camp、climb(White)_x000D_
 _x000D_
_x000D_
_x000D_
Price, product page£45.99£45.99_x000D_
_x000D_
_x000D_
_x000D_
_x000D_
_x000D_
_x000D_
_x000D_
_x000D_
FREE delivery Tue 10 Mar_x000D_
_x000D_
_x000D_
Or fastest delivery Mon 9 Mar_x000D_
_x000D_
Only 14 left in stock._x000D_
_x000D_
_x000D_
_x000D_
_x000D_
_x000D_
_x000D_
_x000D_
_x000D_
_x000D_
_x000D_
_x000D_
_x000D_
_x000D_
_x000D_
Add to basket</t>
  </si>
  <si>
    <t>B0DB5JMBMR</t>
  </si>
  <si>
    <t>_x000D_
_x000D_
_x000D_
_x000D_
_x000D_
_x000D_
_x000D_
_x000D_
_x000D_
Portable Espresso Machines, Electric Espresso Maker with Self-Heating, USB-C &amp; Car Charger, 20 Bar Mini Coffee Maker With NS Capsule &amp; Ground Coffee for Camping, Hiking, Travel, RV, Office_x000D_
 _x000D_
_x000D_
4.2_x000D_
4.2 out of 5 stars_x000D_
 (139)  _x000D_
_x000D_
_x000D_
Save 5%_x000D_
_x000D_
_x000D_
Price, product page£37.99£37.99 Was: £39.99_x000D_
Was: £39.99£39.99_x000D_
_x000D_
_x000D_
Lowest price in 30 days_x000D_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</si>
  <si>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B0G5MVRZ4S</t>
  </si>
  <si>
    <t>_x000D_
_x000D_
_x000D_
_x000D_
_x000D_
_x000D_
_x000D_
_x000D_
_x000D_
Portable Espresso Maker Coffee Machine 3-IN-1 Battery Coffee Maker 20-Bar Self-Heating Electric Espresso Machine Compatible with Ground Coffee &amp; NS Capsule Pod USB-C for Car Camping Hiking RV_x000D_
 _x000D_
_x000D_
5.0_x000D_
5.0 out of 5 stars_x000D_
 (1)  _x000D_
New on Amazon in past month_x000D_
_x000D_
_x000D_
_x000D_
Save 20%_x000D_
_x000D_
_x000D_
Price, product page£79.99£79.99 RRP: £99.99_x000D_
RRP: £99.99£99.99_x000D_
_x000D_
_x000D_
Lowest price in 30 days_x000D_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</si>
  <si>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B0GDFZKTDZ</t>
  </si>
  <si>
    <t>_x000D_
_x000D_
_x000D_
_x000D_
_x000D_
_x000D_
_x000D_
_x000D_
_x000D_
Professional 20-Bar Bean to Cup Coffee Machine with Grinder, Milk Frother - 2800W Double Boiler Espresso Machine - Automatic Coffee Maker, 30 Grind Levels, Cleaning Kit, Latte, Cappucino_x000D_
 _x000D_
_x000D_
5.0_x000D_
5.0 out of 5 stars_x000D_
 (4)  _x000D_
_x000D_
_x000D_
Price, product page£299.99£299.99_x000D_
_x000D_
_x000D_
£20.00 off coupon applied_x000D_
Save £20.00  with voucher_x000D_
 _x000D_
_x000D_
_x000D_
_x000D_
_x000D_
_x000D_
_x000D_
FREE delivery 12 - 13 Mar_x000D_
_x000D_
_x000D_
_x000D_
_x000D_
_x000D_
_x000D_
_x000D_
_x000D_
_x000D_
_x000D_
_x000D_
_x000D_
_x000D_
_x000D_
Add to basket</t>
  </si>
  <si>
    <t>B0FH5K763P</t>
  </si>
  <si>
    <t>_x000D_
_x000D_
_x000D_
_x000D_
_x000D_
_x000D_
_x000D_
_x000D_
_x000D_
Quest Espresso Coffee Machine / 15 Bar Pressure/Filter &amp; Measuring Cups Included / 1.2L Water Tank/Dual Stainless Steel Filter/Compatible with Ground Beans / 1100W_x000D_
 _x000D_
_x000D_
4.1_x000D_
4.1 out of 5 stars_x000D_
 (307)  _x000D_
40+ bought in past month_x000D_
_x000D_
_x000D_
_x000D_
Price, product page£66.99£66.99_x000D_
_x000D_
_x000D_
_x000D_
_x000D_
_x000D_
_x000D_
_x000D_
_x000D_
FREE delivery Tue 10 Mar_x000D_
_x000D_
_x000D_
_x000D_
_x000D_
_x000D_
_x000D_
_x000D_
_x000D_
_x000D_
_x000D_
_x000D_
_x000D_
_x000D_
_x000D_
Add to basket</t>
  </si>
  <si>
    <t>B0DK1Y7QDC</t>
  </si>
  <si>
    <t>_x000D_
_x000D_
_x000D_
_x000D_
_x000D_
_x000D_
_x000D_
_x000D_
_x000D_
Rokya R1 Bean-to-Cup Coffee Machine | 20 Bar Semi-Professional Espresso Maker with Dual Boiler &amp; Cone Grinder | Milk Frother, Steam Wand &amp; Removable Bean Box | Compact for Home Kitchen_x000D_
 _x000D_
_x000D_
3.8_x000D_
3.8 out of 5 stars_x000D_
 (5)  _x000D_
_x000D_
_x000D_
Price, product page£250.00£250.00_x000D_
_x000D_
_x000D_
_x000D_
_x000D_
_x000D_
_x000D_
_x000D_
_x000D_
FREE delivery 11 - 12 Mar_x000D_
_x000D_
_x000D_
_x000D_
_x000D_
_x000D_
_x000D_
_x000D_
_x000D_
_x000D_
_x000D_
_x000D_
_x000D_
_x000D_
_x000D_
Add to basket</t>
  </si>
  <si>
    <t>B0B57D8CFS</t>
  </si>
  <si>
    <t>_x000D_
_x000D_
_x000D_
_x000D_
_x000D_
_x000D_
_x000D_
_x000D_
_x000D_
Russell Hobbs 28251 Retro Espresso Machine - 15 Bar Barista Pump Coffee Machine with Milk Frother for Coffee Grounds and ESE Pods, Black_x000D_
 _x000D_
_x000D_
3.3_x000D_
3.3 out of 5 stars_x000D_
 (66)  _x000D_
_x000D_
_x000D_
Price, product page£89.99£89.99_x000D_
_x000D_
_x000D_
_x000D_
_x000D_
_x000D_
_x000D_
_x000D_
_x000D_
FREE delivery 12 - 14 Mar_x000D_
_x000D_
Only 8 left in stock._x000D_
_x000D_
_x000D_
_x000D_
_x000D_
_x000D_
_x000D_
_x000D_
_x000D_
_x000D_
_x000D_
_x000D_
_x000D_
_x000D_
_x000D_
Add to basket</t>
  </si>
  <si>
    <t>B00OZM77VY</t>
  </si>
  <si>
    <t>_x000D_
_x000D_
_x000D_
_x000D_
_x000D_
_x000D_
_x000D_
_x000D_
_x000D_
Russell Hobbs Chester Bean to Cup Filter Coffee Machine with Built-In Grinder, Grind &amp; Brew Automatic Coffee Maker, 4-12 Cup Brewing Option, 24 Hour Programmable Timer, 40 Minute Keep Warm, 1025W_x000D_
 _x000D_
_x000D_
4.4_x000D_
4.4 out of 5 stars_x000D_
 (2.4K)  _x000D_
300+ bought in past month_x000D_
_x000D_
_x000D_
_x000D_
Price, product page£59.99£59.99 Was: £63.94_x000D_
Was: £63.94£63.94_x000D_
_x000D_
_x000D_
_x000D_
_x000D_
_x000D_
_x000D_
_x000D_
_x000D_
FREE delivery Tue 10 Mar_x000D_
_x000D_
_x000D_
_x000D_
_x000D_
_x000D_
_x000D_
_x000D_
_x000D_
_x000D_
_x000D_
_x000D_
_x000D_
_x000D_
_x000D_
Add to basket</t>
  </si>
  <si>
    <t>B0CQ8TC6RY</t>
  </si>
  <si>
    <t>_x000D_
_x000D_
_x000D_
_x000D_
_x000D_
_x000D_
_x000D_
_x000D_
_x000D_
Russell Hobbs Distinctions Espresso Coffee Machine, 15 Bar Pump Pressure + Milk Frother Steam Wand, Latte &amp; Cappuccino, Detachable Water Tank, ESE pods, Cup warmer, Black, S/Steel, 1350W, 26450_x000D_
 _x000D_
_x000D_
3.3_x000D_
3.3 out of 5 stars_x000D_
 (19)  _x000D_
_x000D_
_x000D_
Price, product page£150.00£150.00 RRP: £199.99_x000D_
RRP: £199.99£199.99_x000D_
_x000D_
_x000D_
_x000D_
_x000D_
_x000D_
_x000D_
_x000D_
_x000D_
FREE delivery Tue 10 Mar_x000D_
_x000D_
_x000D_
Or fastest delivery Tomorrow, 8 Mar_x000D_
_x000D_
Only 11 left in stock._x000D_
_x000D_
_x000D_
_x000D_
_x000D_
_x000D_
_x000D_
_x000D_
_x000D_
_x000D_
_x000D_
_x000D_
_x000D_
_x000D_
_x000D_
Add to basket_x000D_
_x000D_
_x000D_
_x000D_
_x000D_
_x000D_
_x000D_
_x000D_
_x000D_
More buying choices_x000D_
£63.79(3 used &amp; new offers)</t>
  </si>
  <si>
    <t>B0CQ8TFSMB</t>
  </si>
  <si>
    <t>_x000D_
_x000D_
_x000D_
_x000D_
_x000D_
_x000D_
_x000D_
_x000D_
_x000D_
Russell Hobbs Distinctions Espresso Coffee Machine, 15 Bar Pump Pressure + Milk Frother Steam Wand, Latte &amp; Cappuccino, Detachable Water Tank, ESE pods, Cup warmer, Titanium, S/Steel, 1350W, 26452_x000D_
 _x000D_
_x000D_
2.8_x000D_
2.8 out of 5 stars_x000D_
 (8)  _x000D_
_x000D_
_x000D_
Price, product page£140.00£140.00 RRP: £199.99_x000D_
RRP: £199.99£199.99_x000D_
_x000D_
_x000D_
_x000D_
_x000D_
_x000D_
_x000D_
_x000D_
_x000D_
FREE delivery Tue 10 Mar_x000D_
_x000D_
_x000D_
Or fastest delivery Tomorrow, 8 Mar_x000D_
_x000D_
Only 2 left in stock._x000D_
_x000D_
_x000D_
_x000D_
_x000D_
_x000D_
_x000D_
_x000D_
_x000D_
_x000D_
_x000D_
_x000D_
_x000D_
_x000D_
_x000D_
Add to basket</t>
  </si>
  <si>
    <t>B0CQ8RFDTT</t>
  </si>
  <si>
    <t>_x000D_
_x000D_
_x000D_
_x000D_
_x000D_
_x000D_
_x000D_
_x000D_
_x000D_
Russell Hobbs Espresso Machine, 15 Bar Pump Pressure + Milk Frother Steam Wand, Latte &amp; Cappuccino, Detachable Water Tank, ESE pods,Cup warmer, Ocean Blue Stainless Steel 26451_x000D_
 _x000D_
_x000D_
4.5_x000D_
4.5 out of 5 stars_x000D_
 (21)  _x000D_
_x000D_
_x000D_
Price, product page£165.00£165.00 RRP: £199.99_x000D_
RRP: £199.99£199.99_x000D_
_x000D_
_x000D_
_x000D_
_x000D_
_x000D_
_x000D_
_x000D_
_x000D_
FREE delivery Tue 10 Mar_x000D_
_x000D_
_x000D_
Or fastest delivery Tomorrow, 8 Mar_x000D_
_x000D_
Only 12 left in stock (more on the way)._x000D_
_x000D_
_x000D_
_x000D_
_x000D_
_x000D_
_x000D_
_x000D_
_x000D_
_x000D_
_x000D_
_x000D_
_x000D_
_x000D_
_x000D_
Add to basket</t>
  </si>
  <si>
    <t>B0B3F56DQ9</t>
  </si>
  <si>
    <t>_x000D_
_x000D_
_x000D_
_x000D_
_x000D_
_x000D_
_x000D_
_x000D_
_x000D_
Sage - The Barista Express Impress - Bean to Cup Coffee Machine with Grinder and Milk Frother, 9 bar, PID Temperature Control, 1850 W, Cappucino, Espresso Maker,With Milk Jug, Brushed Stainless Steel_x000D_
 _x000D_
_x000D_
4.6_x000D_
4.6 out of 5 stars_x000D_
 (88)  _x000D_
50+ bought in past month_x000D_
_x000D_
_x000D_
_x000D_
Price, product page£729.00£729.00_x000D_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£472.23(4 used &amp; new offers)</t>
  </si>
  <si>
    <t>B00NPYDJ6U</t>
  </si>
  <si>
    <t>_x000D_
_x000D_
_x000D_
_x000D_
_x000D_
_x000D_
_x000D_
_x000D_
_x000D_
Sage - The Duo-Temp Pro - Bean to Cup Coffee Machine with Milk Frother - Precise Espresso-Extraction 1600 W - Easy to Use Manual Espresso Machine - Portafilter and Milk Jug - Brushed Stainless Steel_x000D_
 _x000D_
_x000D_
4.5_x000D_
4.5 out of 5 stars_x000D_
 (638)  _x000D_
_x000D_
_x000D_
Price, product page£399.95£399.95_x000D_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£319.99(2 used &amp; new offers)</t>
  </si>
  <si>
    <t>B07WV26X29</t>
  </si>
  <si>
    <t>_x000D_
_x000D_
_x000D_
_x000D_
_x000D_
_x000D_
_x000D_
_x000D_
_x000D_
Salter EK2732 Personal Coffee Machine - One Cup Filter Coffee Maker, Includes 420ml Stainless Steel Travel Mug, Removable &amp; Washable Filter, Quick Brew In 3-4 Mins, Compatible With Ground Coffee, 750W_x000D_
 _x000D_
_x000D_
4.4_x000D_
4.4 out of 5 stars_x000D_
 (2.5K)  _x000D_
100+ bought in past month_x000D_
_x000D_
_x000D_
_x000D_
Price, product page£32.99£32.99_x000D_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£29.21(3+ used &amp; new offers)</t>
  </si>
  <si>
    <t>B0D3M9KYVY</t>
  </si>
  <si>
    <t>_x000D_
_x000D_
_x000D_
_x000D_
_x000D_
_x000D_
_x000D_
_x000D_
_x000D_
Salter EK6214 2 in 1 Iced Coffee Maker – Cold Brew Espresso Machine, Hot or Cold Function, Includes 420 ml Travel Mug and 440 ml Plastic Cup with Straw, Ground Coffee/Pads, Reusable Mesh Filter, 700W_x000D_
 _x000D_
_x000D_
4.2_x000D_
4.2 out of 5 stars_x000D_
 (70)  _x000D_
50+ bought in past month_x000D_
_x000D_
_x000D_
_x000D_
Price, product page£29.99£29.99_x000D_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£29.60(3 new offers)</t>
  </si>
  <si>
    <t>B0DF34VFZT</t>
  </si>
  <si>
    <t>_x000D_
_x000D_
_x000D_
_x000D_
_x000D_
_x000D_
_x000D_
_x000D_
_x000D_
Salter Espresso Machine With Milk Frother – Single Or Double Shot, 20-Bar Italian Pressure Pump, Ground Coffee Compatible, 1.1L Detachable Water Tank, Includes Stainless Steel Milk Jug, 1350W, EK6139_x000D_
 _x000D_
_x000D_
3.8_x000D_
3.8 out of 5 stars_x000D_
 (74)  _x000D_
_x000D_
_x000D_
Price, product page£81.21£81.21 Was: £84.10_x000D_
Was: £84.10£84.10_x000D_
_x000D_
_x000D_
_x000D_
_x000D_
_x000D_
_x000D_
_x000D_
_x000D_
FREE delivery Tue 10 Mar_x000D_
_x000D_
_x000D_
_x000D_
_x000D_
_x000D_
_x000D_
_x000D_
_x000D_
_x000D_
_x000D_
_x000D_
_x000D_
_x000D_
_x000D_
Add to basket_x000D_
_x000D_
_x000D_
_x000D_
_x000D_
_x000D_
_x000D_
_x000D_
_x000D_
More buying choices_x000D_
£66.41(3 used &amp; new offers)</t>
  </si>
  <si>
    <t>B0DF32VHTD</t>
  </si>
  <si>
    <t>_x000D_
_x000D_
_x000D_
_x000D_
_x000D_
_x000D_
_x000D_
_x000D_
_x000D_
Salter Manual Espresso Machine With Milk Frother – Compatible With Ground Coffee, 15-Bar Italian Pressure Pump, 1.6L Detachable Water Tank, Includes Measuring Spoon, Tamper &amp; Portafilter, 850W, EK6137_x000D_
 _x000D_
_x000D_
3.6_x000D_
3.6 out of 5 stars_x000D_
 (54)  _x000D_
_x000D_
_x000D_
Price, product page£67.99£67.99_x000D_
_x000D_
_x000D_
_x000D_
_x000D_
_x000D_
_x000D_
_x000D_
_x000D_
FREE delivery Tue 10 Mar_x000D_
_x000D_
_x000D_
_x000D_
_x000D_
_x000D_
_x000D_
_x000D_
_x000D_
_x000D_
_x000D_
_x000D_
_x000D_
_x000D_
_x000D_
Add to basket_x000D_
_x000D_
_x000D_
_x000D_
_x000D_
_x000D_
_x000D_
_x000D_
_x000D_
More buying choices_x000D_
£58.93(2 used &amp; new offers)</t>
  </si>
  <si>
    <t>B0BRQB2BD9</t>
  </si>
  <si>
    <t>_x000D_
_x000D_
_x000D_
_x000D_
_x000D_
_x000D_
_x000D_
_x000D_
_x000D_
Salter Professional Espirista Coffee Machine – 1.4 L, BPA-Free, Milk Frothing Wand, For Ground Coffee, Single/Double Function, Touch Panel, 15-Bar Italian Pressure, Latte, Cappuccino, Black_x000D_
 _x000D_
_x000D_
4.3_x000D_
4.3 out of 5 stars_x000D_
 (120)  _x000D_
_x000D_
_x000D_
Price, product page£94.99£94.99_x000D_
_x000D_
_x000D_
_x000D_
_x000D_
_x000D_
_x000D_
_x000D_
_x000D_
FREE delivery Tue 10 Mar_x000D_
_x000D_
_x000D_
_x000D_
_x000D_
_x000D_
_x000D_
_x000D_
_x000D_
_x000D_
_x000D_
_x000D_
_x000D_
_x000D_
_x000D_
Add to basket</t>
  </si>
  <si>
    <t>B0FF5VLZ5X</t>
  </si>
  <si>
    <t>_x000D_
_x000D_
_x000D_
_x000D_
_x000D_
_x000D_
_x000D_
_x000D_
_x000D_
Salter Retro Cream Espresso Machine – Coffee Machine with Milk Frothing Wand, Cappuccino/Latte, 20-Bar Pressure Pump, 1.35L Water Tank, Ground Coffee, Single/Double, Digital LED Display, 1350W_x000D_
 _x000D_
_x000D_
3.4_x000D_
3.4 out of 5 stars_x000D_
 (10)  _x000D_
_x000D_
_x000D_
Price, product page£88.99£88.99_x000D_
_x000D_
_x000D_
_x000D_
_x000D_
_x000D_
_x000D_
_x000D_
_x000D_
FREE delivery Tue 10 Mar_x000D_
_x000D_
_x000D_
_x000D_
_x000D_
_x000D_
_x000D_
_x000D_
_x000D_
_x000D_
_x000D_
_x000D_
_x000D_
_x000D_
_x000D_
Add to basket</t>
  </si>
  <si>
    <t>B0C9HMXR1J</t>
  </si>
  <si>
    <t>_x000D_
_x000D_
_x000D_
_x000D_
_x000D_
_x000D_
_x000D_
_x000D_
_x000D_
SHARDOR Conical Burr Coffee Grinder Electric for Espresso with Precision Electronic Timer, Touchscreen Adjustable Coffee Bean Grinder with 51 Precise Settings, Brushed Stainless Steel_x000D_
 _x000D_
_x000D_
4.4_x000D_
4.4 out of 5 stars_x000D_
 (130)  _x000D_
100+ bought in past month_x000D_
_x000D_
_x000D_
_x000D_
Price, product page£82.99£82.99_x000D_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</si>
  <si>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B0C4WNH8FS</t>
  </si>
  <si>
    <t>_x000D_
_x000D_
_x000D_
_x000D_
_x000D_
_x000D_
_x000D_
_x000D_
_x000D_
SIEMENS EQ900 Fully Automatic Bean to Cup Coffee Machine, 6.8" Touch Screen Display, Cup Warmer, dualBean System, baristaMode, beanIdent System, 30+ Beverages with Home Connect, TQ907GB3_x000D_
 _x000D_
_x000D_
3.9_x000D_
3.9 out of 5 stars_x000D_
 (34)  _x000D_
_x000D_
_x000D_
Price, product page£1,499.00£1,499.00_x000D_
_x000D_
_x000D_
_x000D_
_x000D_
_x000D_
_x000D_
_x000D_
_x000D_
FREE delivery 21 Mar - 13 Apr_x000D_
_x000D_
_x000D_
_x000D_
_x000D_
_x000D_
_x000D_
_x000D_
_x000D_
_x000D_
_x000D_
_x000D_
_x000D_
_x000D_
_x000D_
Add to basket_x000D_
_x000D_
_x000D_
_x000D_
_x000D_
_x000D_
_x000D_
_x000D_
_x000D_
More buying choices_x000D_
£817.62(2+ used &amp; new offers)</t>
  </si>
  <si>
    <t>B0GHPNFXRY</t>
  </si>
  <si>
    <t>_x000D_
_x000D_
_x000D_
_x000D_
_x000D_
_x000D_
_x000D_
_x000D_
_x000D_
Smeg 50's Style Electric Coffee Grinder and 50’s Style Espresso Coffee Machine with Cold Brew Function Pastel Blue CGF03PBUK / ECF03PBUK_x000D_
 _x000D_
_x000D_
_x000D_
Price, product page£699.91£699.91_x000D_
_x000D_
_x000D_
_x000D_
_x000D_
_x000D_
_x000D_
_x000D_
_x000D_
FREE delivery Mon 9 Mar_x000D_
_x000D_
Only 2 left in stock._x000D_
_x000D_
_x000D_
_x000D_
_x000D_
_x000D_
_x000D_
_x000D_
_x000D_
_x000D_
_x000D_
_x000D_
_x000D_
_x000D_
_x000D_
Add to basket</t>
  </si>
  <si>
    <t>B0CLB37P6B</t>
  </si>
  <si>
    <t>_x000D_
_x000D_
_x000D_
_x000D_
_x000D_
_x000D_
_x000D_
_x000D_
_x000D_
Smeg ECF02WHUK Espresso Coffee Machine with Steam Wand, 1950s Retro Design,stainless steel filter holder, an anti-drip system, White_x000D_
 _x000D_
_x000D_
4.2_x000D_
4.2 out of 5 stars_x000D_
 (4)  _x000D_
_x000D_
_x000D_
Price, product page£399.00£399.00_x000D_
_x000D_
_x000D_
_x000D_
_x000D_
_x000D_
_x000D_
_x000D_
_x000D_
FREE delivery Mon 9 Mar_x000D_
_x000D_
Only 12 left in stock._x000D_
_x000D_
_x000D_
_x000D_
_x000D_
_x000D_
_x000D_
_x000D_
_x000D_
_x000D_
_x000D_
_x000D_
_x000D_
_x000D_
_x000D_
Add to basket</t>
  </si>
  <si>
    <t>B0F1ZFMBJH</t>
  </si>
  <si>
    <t>_x000D_
_x000D_
_x000D_
_x000D_
_x000D_
_x000D_
_x000D_
_x000D_
_x000D_
Smeg Semi-Pro Espresso Machine – 15-Bar Pump, Triple Thermoblock Heating, 58mm Filter Holder &amp; Steam Wand – Made in Italy (Black)_x000D_
 _x000D_
_x000D_
1.0_x000D_
1.0 out of 5 stars_x000D_
 (1)  _x000D_
_x000D_
_x000D_
Price, product page£1,308.99£1,308.99_x000D_
_x000D_
_x000D_
_x000D_
_x000D_
_x000D_
_x000D_
_x000D_
_x000D_
_x000D_
_x000D_
_x000D_
 Made in Italy_x000D_
_x000D_
_x000D_
_x000D_
_x000D_
_x000D_
Made in Italy_x000D_
Shop products that have been wholly produced or have undergone their last substantial transformation in Italy. Discover more about “Made in Italy”, a label synonymous throughout the world with refined materials, attention to detail, and creativity. Learn more _x000D_
_x000D_
_x000D_
_x000D_
_x000D_
_x000D_
_x000D_
_x000D_
_x000D_
_x000D_
_x000D_
_x000D_
_x000D_
_x000D_
_x000D_
Add to basket</t>
  </si>
  <si>
    <t>B0GQ2VCSPM</t>
  </si>
  <si>
    <t>_x000D_
_x000D_
_x000D_
_x000D_
_x000D_
_x000D_
_x000D_
_x000D_
_x000D_
Spector 20 Bar Professional Espresso Machine, 1350 W Coffee Maker with Milk Frother, PID Temperature Control, Compact Stainless Steel Latte Machine for Cappuccino and Flat White_x000D_
 _x000D_
_x000D_
New on Amazon in past month_x000D_
_x000D_
_x000D_
_x000D_
Price, product page£66.99£66.99_x000D_
_x000D_
_x000D_
_x000D_
_x000D_
_x000D_
_x000D_
_x000D_
_x000D_
FREE delivery 12 - 13 Mar_x000D_
_x000D_
_x000D_
_x000D_
_x000D_
_x000D_
_x000D_
_x000D_
_x000D_
_x000D_
_x000D_
_x000D_
_x000D_
_x000D_
_x000D_
Add to basket</t>
  </si>
  <si>
    <t>B0GQ2Z7QZS</t>
  </si>
  <si>
    <t>_x000D_
_x000D_
_x000D_
_x000D_
_x000D_
_x000D_
_x000D_
_x000D_
_x000D_
Spector Ultra Espresso Machine with LCD Display, Stainless Steel Barista Coffee Machine with Milk Frother, Customisable Temperature, 20 Bar Pressure for Latte and Cappuccino_x000D_
 _x000D_
_x000D_
New on Amazon in past month_x000D_
_x000D_
_x000D_
_x000D_
Price, product page£135.99£135.99_x000D_
_x000D_
_x000D_
_x000D_
_x000D_
_x000D_
_x000D_
_x000D_
_x000D_
FREE delivery 12 - 13 Mar_x000D_
_x000D_
_x000D_
_x000D_
_x000D_
_x000D_
_x000D_
_x000D_
_x000D_
_x000D_
_x000D_
_x000D_
_x000D_
_x000D_
_x000D_
Add to basket</t>
  </si>
  <si>
    <t>B09WMGG84T</t>
  </si>
  <si>
    <t>_x000D_
_x000D_
_x000D_
_x000D_
_x000D_
_x000D_
_x000D_
_x000D_
_x000D_
Stovetop Coffee Maker Espresso Italian Moka Pot with Transparent Top Lid, 150ml-3 Espresso Cups, Classic Aluminium Coffee Percolator, Orange/Black_x000D_
 _x000D_
_x000D_
_x000D_
Options:_x000D_
2 sizes2 sizes_x000D_
_x000D_
4.4_x000D_
4.4 out of 5 stars_x000D_
 (388)  _x000D_
_x000D_
_x000D_
Price, product page£20.99£20.99 Was: £22.99_x000D_
Was: £22.99£22.99_x000D_
_x000D_
_x000D_
Save 5% on any 4 qualifying items_x000D_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</si>
  <si>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B0FLY3848H</t>
  </si>
  <si>
    <t>_x000D_
_x000D_
_x000D_
_x000D_
_x000D_
_x000D_
_x000D_
_x000D_
_x000D_
Swan SK22153 Mini Digital Espresso Coffee Machine, Digital Touch Controls with 3 Pre-Sets, 20 Bar Pressure, Built-in Milk Frother, Compact Design, Stainless Steel_x000D_
 _x000D_
_x000D_
4.0_x000D_
4.0 out of 5 stars_x000D_
 (51)  _x000D_
_x000D_
_x000D_
Price, product page£119.00£119.00_x000D_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£62.45(4+ used &amp; new offers)</t>
  </si>
  <si>
    <t>B0FLY3XPZQ</t>
  </si>
  <si>
    <t>_x000D_
_x000D_
_x000D_
_x000D_
_x000D_
_x000D_
_x000D_
_x000D_
_x000D_
SWAN SK22154 Pump Espresso Digital Coffee Machine, Digital Touch Controls with 8 Pre-Sets, 20 Bar Pressure, Built-in Automatic Milk Frother with 500ml Tank, Black_x000D_
 _x000D_
_x000D_
2.9_x000D_
2.9 out of 5 stars_x000D_
 (53)  _x000D_
_x000D_
_x000D_
Price, product page£169.00£169.00_x000D_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£128.25(5+ used &amp; new offers)</t>
  </si>
  <si>
    <t>B0FRG66FTF</t>
  </si>
  <si>
    <t>_x000D_
_x000D_
_x000D_
_x000D_
_x000D_
_x000D_
_x000D_
_x000D_
_x000D_
Tassimo by Bosch Happy Friendly Pod Coffee Machine with 70 Drinks Value Starter Bundle, TAS102EGBC - Black_x000D_
 _x000D_
_x000D_
_x000D_
Options:_x000D_
3 sizes3 sizes_x000D_
_x000D_
4.6_x000D_
4.6 out of 5 stars_x000D_
 (690)  _x000D_
1K+ bought in past month_x000D_
_x000D_
_x000D_
_x000D_
Price, product page£44.00£44.00_x000D_
_x000D_
_x000D_
£20 off drinks_x000D_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£34.69(3+ used &amp; new offers)</t>
  </si>
  <si>
    <t>B0B18VJH8V</t>
  </si>
  <si>
    <t>_x000D_
_x000D_
_x000D_
_x000D_
_x000D_
_x000D_
_x000D_
_x000D_
_x000D_
Tassimo by Bosch Joy TAS4502NGB Coffee Machine, 1300 Watt, 1.4 Litre - Black_x000D_
 _x000D_
_x000D_
4.5_x000D_
4.5 out of 5 stars_x000D_
 (1.1K)  _x000D_
100+ bought in past month_x000D_
_x000D_
_x000D_
_x000D_
Price, product page£59.99£59.99_x000D_
_x000D_
_x000D_
£20 off drinks_x000D_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</si>
  <si>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B0FL2QHM7H</t>
  </si>
  <si>
    <t>_x000D_
_x000D_
_x000D_
_x000D_
_x000D_
_x000D_
_x000D_
_x000D_
_x000D_
Tjean Barista Senso,Dual Boiler Bean to Cup Coffee Machine with Smart-Tamping,Built-in Burr Grinder Espresso,Latte &amp; Cappuccino Coffee Machine with Manual Milk Frother (Black Rose)_x000D_
 _x000D_
_x000D_
4.5_x000D_
4.5 out of 5 stars_x000D_
 (32)  _x000D_
_x000D_
_x000D_
Price, product page£269.99£269.99 RRP: £369.00_x000D_
RRP: £369.00£369.00_x000D_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</si>
  <si>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B0FN3VW7NQ</t>
  </si>
  <si>
    <t>_x000D_
_x000D_
_x000D_
_x000D_
_x000D_
_x000D_
_x000D_
_x000D_
_x000D_
Tjean Barista Senso,Dual Boiler Bean to Cup Coffee Machine with Smart-Tamping,Built-in Burr Grinder Espresso,Latte &amp; Cappuccino Coffee Machine with Manual Milk Frother (Gray Gold)_x000D_
 _x000D_
_x000D_
4.6_x000D_
4.6 out of 5 stars_x000D_
 (3)  _x000D_
_x000D_
_x000D_
Price, product page£303.20£303.20 RRP: £379.00_x000D_
RRP: £379.00£379.00_x000D_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£239.99(2 used &amp; new offers)</t>
  </si>
  <si>
    <t>B0F2FBKW97</t>
  </si>
  <si>
    <t>_x000D_
_x000D_
_x000D_
_x000D_
_x000D_
_x000D_
_x000D_
_x000D_
_x000D_
UltraFast 15-Second RapidStart Espresso Machine | 20Bar Pro Pressure &amp; 3-Touch Smart Controls | Compact 27cm for Small Kitchens | Makes Lattes, Cappuccinos &amp; Americanos (Silver, 1.5L)_x000D_
 _x000D_
_x000D_
4.2_x000D_
4.2 out of 5 stars_x000D_
 (8)  _x000D_
_x000D_
_x000D_
Price, product page£84.99£84.99_x000D_
_x000D_
_x000D_
Buy any 2, Save 6%_x000D_
_x000D_
_x000D_
_x000D_
_x000D_
_x000D_
_x000D_
_x000D_
FREE delivery 17 - 19 Mar_x000D_
_x000D_
_x000D_
_x000D_
_x000D_
_x000D_
_x000D_
_x000D_
_x000D_
_x000D_
_x000D_
_x000D_
_x000D_
_x000D_
_x000D_
Add to basket</t>
  </si>
  <si>
    <t>B0FWK5H5NG</t>
  </si>
  <si>
    <t>_x000D_
_x000D_
_x000D_
_x000D_
_x000D_
_x000D_
_x000D_
_x000D_
_x000D_
Upgrade 19 Bar 5in1 Espresso Capsule Coffee Machine for Nespresso/Dolce Gusto/LAVAZZA MIO/LOR Coffee Pod and Ground/ESE Coffee, Automatic Capsule Small Coffee Machines, EM-308B (BLACK)_x000D_
 _x000D_
_x000D_
4.3_x000D_
4.3 out of 5 stars_x000D_
 (46)  _x000D_
50+ bought in past month_x000D_
_x000D_
_x000D_
_x000D_
Price, product page£139.99£139.99_x000D_
_x000D_
_x000D_
£27.00 off coupon applied_x000D_
Save £27.00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</si>
  <si>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B0FWK5BXQ9</t>
  </si>
  <si>
    <t xml:space="preserve">_x000D_
_x000D_
_x000D_
_x000D_
_x000D_
_x000D_
_x000D_
_x000D_
_x000D_
Upgrade 19 Bar 5in1 Espresso Capsule Coffee Machine for Nespresso/Dolce Gusto/LAVAZZA MIO/LOR Coffee Pod and Ground/ESE Coffee, Automatic Capsule Small Coffee Machines, EM-308B (GREY)_x000D_
 _x000D_
_x000D_
4.3_x000D_
4.3 out of 5 stars_x000D_
 (46)  _x000D_
_x000D_
_x000D_
Price, product page£149.00£149.00_x000D_
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</si>
  <si>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B001418KNS</t>
  </si>
  <si>
    <t>_x000D_
_x000D_
_x000D_
_x000D_
_x000D_
_x000D_
_x000D_
_x000D_
_x000D_
Urnex Cafiza Espresso Machine Cleaning Powder, 566 g_x000D_
 _x000D_
_x000D_
Powder_x000D_
_x000D_
_x000D_
4.7_x000D_
4.7 out of 5 stars_x000D_
 (6.8K)  _x000D_
500+ bought in past month_x000D_
_x000D_
_x000D_
_x000D_
Price, product page£11.99£11.99 (£21.18£21.18/kg)_x000D_
_x000D_
_x000D_
Save 5% on any 4 qualifying items_x000D_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</si>
  <si>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B004L8RTEM</t>
  </si>
  <si>
    <t>_x000D_
_x000D_
_x000D_
_x000D_
_x000D_
_x000D_
_x000D_
_x000D_
_x000D_
Urnex Cafiza Espresso Machine Cleaning Tablets, Pack of 100_x000D_
 _x000D_
_x000D_
Tablet_x000D_
_x000D_
_x000D_
4.7_x000D_
4.7 out of 5 stars_x000D_
 (3.3K)  _x000D_
500+ bought in past month_x000D_
_x000D_
_x000D_
_x000D_
Price, product page£14.49£14.49 (£0.14£0.14/count)_x000D_
_x000D_
_x000D_
Save 5% on any 4 qualifying items_x000D_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t>
  </si>
  <si>
    <t>B0716ZL29F</t>
  </si>
  <si>
    <t xml:space="preserve">_x000D_
_x000D_
_x000D_
_x000D_
_x000D_
_x000D_
_x000D_
_x000D_
_x000D_
Variety Pack: 100 Nespresso Compatible Pods. 9 Different Varieties With Coffee Capsules_x000D_
 _x000D_
_x000D_
Capsule_x000D_
_x000D_
_x000D_
4.4_x000D_
4.4 out of 5 stars_x000D_
 (4.8K)  _x000D_
2K+ bought in past month_x000D_
_x000D_
_x000D_
_x000D_
Price, product page£27.99£27.99 (£0.28£0.28/count)_x000D_
_x000D_
_x000D_
subscription voucher_x000D_
Extra 12% off subscription voucher_x000D_
 _x000D_
_x000D_
_x000D_
_x000D_
_x000D_
_x000D_
_x000D_
_x000D_
FREE delivery Tue 10 Mar on your first eligible order to UK or Ireland_x000D_
_x000D_
_x000D_
Or fastest delivery Tomorrow, 8 Mar_x000D_
_x000D_
_x000D_
_x000D_
_x000D_
_x000D_
_x000D_
_x000D_
_x000D_
_x000D_
_x000D_
_x000D_
_x000D_
_x000D_
_x000D_
Add to basket_x000D_
_x000D_
_x000D_
_x000D_
_x000D_
_x000D_
_x000D_
 </t>
  </si>
  <si>
    <t>B0CCDBVYQ7</t>
  </si>
  <si>
    <t>_x000D_
_x000D_
_x000D_
_x000D_
_x000D_
_x000D_
_x000D_
_x000D_
_x000D_
VeoHome Stovetop Espresso Coffee Maker - 10 Cups 500ml Multi-Stove Stainless Steel Induction Moka Pot - Unbreakable and Dishwasher-Safe Italian Style Caffe Machine_x000D_
 _x000D_
_x000D_
_x000D_
Options:_x000D_
2 sizes2 sizes_x000D_
_x000D_
4.3_x000D_
4.3 out of 5 stars_x000D_
 (1K)  _x000D_
_x000D_
_x000D_
Price, product page£59.99£59.99_x000D_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£47.99(3 used &amp; new offers)</t>
  </si>
  <si>
    <t>B06WD3YX91</t>
  </si>
  <si>
    <t>_x000D_
_x000D_
_x000D_
_x000D_
_x000D_
_x000D_
_x000D_
_x000D_
_x000D_
VonShef Stovetop Coffee Maker, 6 Cup Aluminium Italian Espresso Maker, 300ml Gas &amp; Electric Stove Top Moka Pot with Replacement Gasket &amp; Filter_x000D_
 _x000D_
_x000D_
_x000D_
Options:_x000D_
3 sizes3 sizes_x000D_
_x000D_
4.4_x000D_
4.4 out of 5 stars_x000D_
 (3.3K)  _x000D_
700+ bought in past month_x000D_
_x000D_
_x000D_
_x000D_
Save 13%_x000D_
_x000D_
_x000D_
Price, product page£12.99£12.99 RRP: £14.99_x000D_
RRP: £14.99£14.99_x000D_
_x000D_
_x000D_
Lowest price in 30 days_x000D_
_x000D_
_x000D_
_x000D_
_x000D_
_x000D_
_x000D_
_x000D_
FREE delivery Mon 9 Mar_x000D_
_x000D_
_x000D_
_x000D_
_x000D_
_x000D_
_x000D_
_x000D_
_x000D_
_x000D_
_x000D_
_x000D_
_x000D_
_x000D_
_x000D_
Add to basket</t>
  </si>
  <si>
    <t>B00VTA9F6U</t>
  </si>
  <si>
    <t>_x000D_
_x000D_
_x000D_
_x000D_
_x000D_
_x000D_
_x000D_
_x000D_
_x000D_
WACACO Minipresso GR, Portable Espresso Machine, Compatible Ground Coffee, Small Travel Coffee Maker, Manually Operated from Piston Action_x000D_
 _x000D_
_x000D_
4.4_x000D_
4.4 out of 5 stars_x000D_
 (5.1K)  _x000D_
_x000D_
_x000D_
Price, product page£49.90£49.90_x000D_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</si>
  <si>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B0D52XSWKB</t>
  </si>
  <si>
    <t>_x000D_
_x000D_
_x000D_
_x000D_
_x000D_
_x000D_
_x000D_
_x000D_
_x000D_
WACACO Minipresso GR2, Espresso Machine for Outdoor Compatible Ground Coffee, Portable Coffee Maker 18 Bar Manually Operated, Espresso Maker On The Go, Ultra-Small For Travel Camping Car Fishing_x000D_
 _x000D_
_x000D_
4.3_x000D_
4.3 out of 5 stars_x000D_
 (582)  _x000D_
_x000D_
_x000D_
Price, product page£54.90£54.90_x000D_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</si>
  <si>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B01M4J94WY</t>
  </si>
  <si>
    <t>_x000D_
_x000D_
_x000D_
_x000D_
_x000D_
_x000D_
_x000D_
_x000D_
_x000D_
WACACO Minipresso NS, Portable Espresso Machine, Compatible with *Nespresso®* CAPSULES and compatibles, Small Travel Coffee Maker, Manually Operated Coffee Machine for Camping_x000D_
 _x000D_
_x000D_
4.2_x000D_
4.2 out of 5 stars_x000D_
 (5.6K)  _x000D_
40+ bought in past month_x000D_
_x000D_
_x000D_
_x000D_
Price, product page£49.90£49.90_x000D_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</si>
  <si>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B0BFH7V73L</t>
  </si>
  <si>
    <t>_x000D_
_x000D_
_x000D_
_x000D_
_x000D_
_x000D_
_x000D_
_x000D_
_x000D_
WACACO Minipresso NS2, Portable Espresso Maker Compatible with *Nespresso®*Original Capsules and Compatibles, Manually Operated, 18 Bar Small Handheld Coffee Machine for Travel, Camping_x000D_
 _x000D_
_x000D_
4.0_x000D_
4.0 out of 5 stars_x000D_
 (1.4K)  _x000D_
40+ bought in past month_x000D_
_x000D_
_x000D_
_x000D_
Price, product page£54.90£54.90 RRP: £59.90_x000D_
RRP: £59.90£59.90_x000D_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</si>
  <si>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B08X627458</t>
  </si>
  <si>
    <t>_x000D_
_x000D_
_x000D_
_x000D_
_x000D_
_x000D_
_x000D_
_x000D_
_x000D_
wirsh Espresso Machine, 15 Bar Espresso Maker with Commercial Steamer for Latte and Cappuccino, Espresso Coffee Machine with 40oz Removable Water Tank, Full Stainless Steel_x000D_
 _x000D_
_x000D_
4.2_x000D_
4.2 out of 5 stars_x000D_
 (1.2K)  _x000D_
_x000D_
_x000D_
Price, product page£274.94£274.94_x000D_
_x000D_
_x000D_
_x000D_
_x000D_
_x000D_
_x000D_
_x000D_
_x000D_
FREE delivery 21 - 27 Mar_x000D_
_x000D_
_x000D_
_x000D_
_x000D_
_x000D_
_x000D_
_x000D_
_x000D_
_x000D_
_x000D_
_x000D_
_x000D_
_x000D_
_x000D_
Add to basket</t>
  </si>
  <si>
    <t>B0FBWXDDJ8</t>
  </si>
  <si>
    <t>_x000D_
_x000D_
_x000D_
_x000D_
_x000D_
_x000D_
_x000D_
_x000D_
_x000D_
Xiaomi Smart Semi-Automatic Espresso Machine, Professional 15 Bar Pressure, Compact Design for Coffee Quality Coffee at Home_x000D_
 _x000D_
_x000D_
_x000D_
Price, product page£205.90£205.90_x000D_
_x000D_
_x000D_
_x000D_
_x000D_
_x000D_
_x000D_
_x000D_
_x000D_
£13.99 delivery 17 - 19 Mar_x000D_
_x000D_
Only 1 left in stock._x000D_
_x000D_
_x000D_
_x000D_
_x000D_
_x000D_
_x000D_
_x000D_
_x000D_
_x000D_
_x000D_
_x000D_
_x000D_
_x000D_
_x000D_
Add to basket</t>
  </si>
  <si>
    <t>B0GCCF56VX</t>
  </si>
  <si>
    <t>_x000D_
_x000D_
_x000D_
_x000D_
_x000D_
_x000D_
_x000D_
_x000D_
_x000D_
Y-Step 8 PCS Espresso Accessories Kit, 51mm Espresso Tamper Tools, with Wood Coffee Espresso Tamping Station, WDT Tool, Wood Distributor, Stirrer, Dosing Funnel, Brush, Puck Screen, Latte Art Pen_x000D_
 _x000D_
_x000D_
New on Amazon in past month_x000D_
_x000D_
_x000D_
_x000D_
Price, product page£47.89£47.89_x000D_
_x000D_
_x000D_
15% off coupon applied_x000D_
Save 15%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</si>
  <si>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B0FRSBRHR2</t>
  </si>
  <si>
    <t>_x000D_
_x000D_
_x000D_
_x000D_
_x000D_
_x000D_
_x000D_
_x000D_
_x000D_
Y-Step 8 PCS Espresso Machine Accessories Kit: 51mm Espresso Tamper Tools, with Wood Coffee Espresso Tamping Station, WDT Tool, Distributor, Stirrer, Dosing Funnel, Brush, Puck Screen, Latte Art Pen_x000D_
 _x000D_
_x000D_
5.0_x000D_
5.0 out of 5 stars_x000D_
 (1)  _x000D_
40+ bought in past month_x000D_
_x000D_
_x000D_
_x000D_
Save 6%_x000D_
_x000D_
_x000D_
Price, product page£46.89£46.89 Was: £49.99_x000D_
Was: £49.99£49.99_x000D_
_x000D_
_x000D_
15% off coupon applied_x000D_
Save 15%  with voucher_x000D_
 _x000D_
_x000D_
_x000D_
_x000D_
_x000D_
_x000D_
_x000D_
FREE delivery Tue 10 Mar_x000D_
_x000D_
_x000D_
Or fastest delivery Tomorrow, 8 Mar_x000D_
_x000D_
_x000D_
_x000D_
_x000D_
_x000D_
_x000D_
_x000D_
_x000D_
_x000D_
_x000D_
_x000D_
_x000D_
_x000D_
_x000D_
Add to basket</t>
  </si>
  <si>
    <t>B0DG34WRW1</t>
  </si>
  <si>
    <t xml:space="preserve">_x000D_
_x000D_
_x000D_
_x000D_
_x000D_
_x000D_
_x000D_
Amazon Exclusive_x000D_
_x000D_
_x000D_
_x000D_
_x000D_
_x000D_
_x000D_
SponsoredSponsored _x000D_
_x000D_
You’re seeing this ad based on the product’s relevance to your search query._x000D_
Let us know  _x000D_
_x000D_
Nespresso Pixie Coffee Pod Machine by Krups, Compact Espresso Maker for Original Pods, 19-Bar High Pressure, Fast Heat-Up, Energy Saving, Auto Shut-Off, Recyclable Pods in Dark Green_x000D_
 _x000D_
_x000D_
4.6_x000D_
4.6 out of 5 stars_x000D_
 (692)  _x000D_
200+ bought in past month_x000D_
_x000D_
_x000D_
_x000D_
Price, product page£149.99£149.99_x000D_
_x000D_
_x000D_
Free milk Frother with 100 pods_x000D_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t>
  </si>
  <si>
    <t>B07RPP471M</t>
  </si>
  <si>
    <t>_x000D_
_x000D_
_x000D_
_x000D_
_x000D_
_x000D_
_x000D_
Nespresso Citiz Automatic Pod coffee machine for Americano, Decaf, Espresso by Krups in SilverNespresso Citiz Automatic Pod coffee machine for Americano, Decaf, Espresso by Krups in Silver_x000D_
_x000D_
4.6 _x000D_
4.6 out of 5 stars._x000D_
 692_x000D_
_x000D_
£139.00£139.00_x000D_
_x000D_
_x000D_
_x000D_
RRP: £174.99</t>
  </si>
  <si>
    <t>B08VD5FS1D</t>
  </si>
  <si>
    <t>_x000D_
_x000D_
_x000D_
_x000D_
_x000D_
_x000D_
_x000D_
Nespresso EN510.W Lattissima One Coffee Machine with Milk FrothingNespresso EN510.W Lattissima One Coffee Machine with Milk Frothing_x000D_
_x000D_
3.8 _x000D_
3.8 out of 5 stars._x000D_
 2,336_x000D_
_x000D_
_x000D_
Limited time deal_x000D_
_x000D_
_x000D_
-31%£179.00£179.00_x000D_
_x000D_
_x000D_
_x000D_
RRP: £259.99</t>
  </si>
  <si>
    <t>B09RR1151V</t>
  </si>
  <si>
    <t>_x000D_
_x000D_
_x000D_
_x000D_
_x000D_
_x000D_
Amazon's Choice_x000D_
for "espresso machine"_x000D_
_x000D_
_x000D_
_x000D_
_x000D_
_x000D_
_x000D_
_x000D_
_x000D_
_x000D_
_x000D_
_x000D_
_x000D_
_x000D_
_x000D_
_x000D_
_x000D_
_x000D_
_x000D_
_x000D_
_x000D_
De'Longhi Manual Coffee Machine Stilosa EC260.GR, 15 Bar Pressure, Cappuccino System, Automatic Switch-Off, Compatible with ESE pods, 2 Level Tray, Capacity 1L, Green_x000D_
 _x000D_
_x000D_
4.3_x000D_
4.3 out of 5 stars_x000D_
 (3.4K)  _x000D_
400+ bought in past month_x000D_
_x000D_
_x000D_
_x000D_
Price, product page£88.99£88.99 RRP: £126.99_x000D_
RRP: £126.99£126.99_x000D_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£86.32(8+ used &amp; new offers)</t>
  </si>
  <si>
    <t>B093HG9C12</t>
  </si>
  <si>
    <t>_x000D_
_x000D_
_x000D_
_x000D_
_x000D_
Amazon Exclusive_x000D_
_x000D_
_x000D_
_x000D_
_x000D_
_x000D_
_x000D_
_x000D_
_x000D_
+2 other colours/patterns_x000D_
_x000D_
_x000D_
Nespresso ENV120.BMAE Vertuo Next Automatic Pod coffee machine with milk frother for Espresso, Cappuccino &amp; Latte by Magimix in Matt Black [Amazon Exclusive]_x000D_
 _x000D_
_x000D_
4.2_x000D_
4.2 out of 5 stars_x000D_
 (1.1K)  _x000D_
50+ bought in past month_x000D_
_x000D_
_x000D_
_x000D_
Price, product page£192.15£192.15 RRP: £199.00_x000D_
RRP: £199.00£199.00_x000D_
_x000D_
_x000D_
_x000D_
_x000D_
_x000D_
_x000D_
_x000D_
_x000D_
FREE delivery Tue 10 Mar_x000D_
_x000D_
_x000D_
Or fastest delivery Tomorrow, 8 Mar_x000D_
_x000D_
Only 3 left in stock._x000D_
_x000D_
_x000D_
_x000D_
_x000D_
_x000D_
_x000D_
_x000D_
_x000D_
_x000D_
_x000D_
_x000D_
_x000D_
_x000D_
_x000D_
Add to basket_x000D_
_x000D_
_x000D_
_x000D_
_x000D_
_x000D_
_x000D_
_x000D_
_x000D_
More buying choices_x000D_
£54.59(8+ used &amp; new offers)</t>
  </si>
  <si>
    <t>B092W97RH8</t>
  </si>
  <si>
    <t>_x000D_
_x000D_
_x000D_
_x000D_
_x000D_
Amazon Exclusive_x000D_
_x000D_
_x000D_
_x000D_
_x000D_
_x000D_
_x000D_
_x000D_
_x000D_
+2 other colours/patterns_x000D_
_x000D_
_x000D_
Nespresso Vertuo Next ENV120.BM, Capsule Coffee Machine, Single-Serve Pod Coffee Machine, 5 Cup Sizes, Centrifusion Technology, Welcome Set Included, Matt Black_x000D_
 _x000D_
_x000D_
4.1_x000D_
4.1 out of 5 stars_x000D_
 (1.6K)  _x000D_
30+ bought in past month_x000D_
_x000D_
_x000D_
_x000D_
Price, product page£149.00£149.00_x000D_
_x000D_
_x000D_
Free milk Frother with 100 pods_x000D_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£41.80(5+ used &amp; new offers)</t>
  </si>
  <si>
    <t>B00CV97TKC</t>
  </si>
  <si>
    <t>_x000D_
_x000D_
_x000D_
_x000D_
_x000D_
Amazon Exclusive_x000D_
_x000D_
_x000D_
_x000D_
_x000D_
_x000D_
_x000D_
DeLonghi Nescafé Dolce Gusto Mini Me Pod Capsule Coffee Machine, Espresso, cappuccino and more, EDG305.WB, White &amp; Black_x000D_
 _x000D_
_x000D_
4.4_x000D_
4.4 out of 5 stars_x000D_
 (2K)  _x000D_
50+ bought in past month_x000D_
_x000D_
_x000D_
_x000D_
Price, product page£121.91£121.91_x000D_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£38.99(5+ used &amp; new offers)</t>
  </si>
  <si>
    <t>B0F4DKD7DQ</t>
  </si>
  <si>
    <t>_x000D_
_x000D_
_x000D_
_x000D_
_x000D_
Amazon Exclusive_x000D_
_x000D_
_x000D_
_x000D_
_x000D_
_x000D_
_x000D_
De'Longhi Nescafé Dolce Gusto Piccolo XS EDG210.A, Coffee Capsule Machine with Compact Design, Automatic Shutdown, Hot and Cold Beverages, 15 Bar Pressure, Black_x000D_
 _x000D_
_x000D_
4.2_x000D_
4.2 out of 5 stars_x000D_
 (242)  _x000D_
500+ bought in past month_x000D_
_x000D_
_x000D_
_x000D_
Price, product page£38.61£38.61_x000D_
_x000D_
_x000D_
_x000D_
_x000D_
_x000D_
_x000D_
_x000D_
_x000D_
FREE delivery Tue 10 Mar_x000D_
_x000D_
_x000D_
Or fastest delivery Tomorrow, 8 Mar_x000D_
_x000D_
_x000D_
_x000D_
_x000D_
_x000D_
_x000D_
_x000D_
_x000D_
_x000D_
_x000D_
_x000D_
_x000D_
_x000D_
_x000D_
Add to basket_x000D_
_x000D_
_x000D_
_x000D_
_x000D_
_x000D_
_x000D_
_x000D_
_x000D_
More buying choices_x000D_
£27.57(3+ used &amp; new offers)</t>
  </si>
  <si>
    <t>B0DKPH19SD</t>
  </si>
  <si>
    <t>_x000D_
_x000D_
_x000D_
_x000D_
_x000D_
Amazon Exclusive_x000D_
_x000D_
_x000D_
_x000D_
_x000D_
_x000D_
_x000D_
Krups Virtuoso+ Pump Espresso Machine – Compact Black Stainless-Steel Design, 15-Bar Pump for Rich Extraction, Auto Flow-Stop, 4-Button Interface &amp; Steam Nozzle for Espresso &amp; Cappuccino - XP444GG0_x000D_
 _x000D_
_x000D_
4.4_x000D_
4.4 out of 5 stars_x000D_
 (67.6K)  _x000D_
_x000D_
_x000D_
_x000D_
_x000D_
_x000D_
_x000D_
_x000D_
_x000D_
_x000D_
_x000D_
See options_x000D_
_x000D_
_x000D_
No featured offers available_x000D_
£92.59(15 used &amp; new offers)</t>
  </si>
  <si>
    <t xml:space="preserve">
De'Longhi Manual Coffee Machine Stilosa EC260.CR, 15 Bar Pressure, Cappuccino System, Automatic Switch-Off, Compatible with ESE pods, 2 Level Tray, Capacity 1L Cream
4.3
4.3 out of 5 stars
 (3.4K)  
400+ bought in past month
Price, product page£89.00£89.00 RRP: £126.99
RRP: £126.99£126.99
FREE delivery Tue 10 Mar
Or fastest delivery Tomorrow, 8 Mar
Add to basket
More buying choices
£84.55(8+ used &amp; new offers)</t>
  </si>
  <si>
    <t>Brand</t>
  </si>
  <si>
    <t>Price (£)</t>
  </si>
  <si>
    <t>Capacity (litres)</t>
  </si>
  <si>
    <t>Pump pressure (bar)</t>
  </si>
  <si>
    <t>Weight (kg)</t>
  </si>
  <si>
    <t>Reviews</t>
  </si>
  <si>
    <t>Special features</t>
  </si>
  <si>
    <t>Gaggia</t>
  </si>
  <si>
    <t>1.2 litres</t>
  </si>
  <si>
    <t>15 Bar</t>
  </si>
  <si>
    <t>‎3.7 kg</t>
  </si>
  <si>
    <t>4.1 out of 5</t>
  </si>
  <si>
    <t>Milk Frother</t>
  </si>
  <si>
    <t>Table 17.Brand</t>
  </si>
  <si>
    <t>Table 17.Price (£)</t>
  </si>
  <si>
    <t>Table 17.Capacity (litres)</t>
  </si>
  <si>
    <t>Table 17.Pump pressure (bar)</t>
  </si>
  <si>
    <t>Table 17.Weight (kg)</t>
  </si>
  <si>
    <t>Table 17.Reviews</t>
  </si>
  <si>
    <t>Table 17.Special features</t>
  </si>
  <si>
    <t>OutIn</t>
  </si>
  <si>
    <t>80 Millilitres</t>
  </si>
  <si>
    <t>Indoor &amp; Outdoor</t>
  </si>
  <si>
    <t>‎Yes</t>
  </si>
  <si>
    <t>4.3 out of 5</t>
  </si>
  <si>
    <t>Rechargeable Battery, USB-C Charging, Portable Design, Auto Shut-off, Travel Friendly, Lightweight</t>
  </si>
  <si>
    <t>Smeg</t>
  </si>
  <si>
    <t>3.2 out of 5</t>
  </si>
  <si>
    <t>Cooks Professional</t>
  </si>
  <si>
    <t>‎3.37 kg</t>
  </si>
  <si>
    <t>4 out of 5</t>
  </si>
  <si>
    <t>Steam Wand</t>
  </si>
  <si>
    <t>1.7 litres</t>
  </si>
  <si>
    <t>‎Milk Frother, Retro Style, Italian Made, Compact, Stainless Steel, Non-Drip,</t>
  </si>
  <si>
    <t>3.6 out of 5</t>
  </si>
  <si>
    <t>Milk Frother, Retro Style, Italian Made, Compact, Stainless Steel, Non-Drip,</t>
  </si>
  <si>
    <t>WACACO</t>
  </si>
  <si>
    <t>2.8 Fluid Ounces</t>
  </si>
  <si>
    <t>\</t>
  </si>
  <si>
    <t>‎A to G</t>
  </si>
  <si>
    <t>4.4 out of 5</t>
  </si>
  <si>
    <t>Manual</t>
  </si>
  <si>
    <t>BENFUCHEN</t>
  </si>
  <si>
    <t>3.9 out of 5</t>
  </si>
  <si>
    <t>Portable</t>
  </si>
  <si>
    <t>De'Longhi</t>
  </si>
  <si>
    <t>1 litres</t>
  </si>
  <si>
    <t>Milk Frother, Removable Tank</t>
  </si>
  <si>
    <t>Kaiser</t>
  </si>
  <si>
    <t>1.1 litres</t>
  </si>
  <si>
    <t>‎Auto Shut-Off, Cup Warmer, Milk Frother, Programmable, Water Filter</t>
  </si>
  <si>
    <t>5 out of 5</t>
  </si>
  <si>
    <t>Auto Shut-Off, Cup Warmer, Milk Frother, Programmable, Water Filter</t>
  </si>
  <si>
    <t>Nespresso</t>
  </si>
  <si>
    <t>‎Milk Frother</t>
  </si>
  <si>
    <t>COTGCO</t>
  </si>
  <si>
    <t>‎Lightweight, Portable</t>
  </si>
  <si>
    <t>Lightweight, Portable</t>
  </si>
  <si>
    <t>Easyworkz</t>
  </si>
  <si>
    <t>520 Millilitres</t>
  </si>
  <si>
    <t>‎No</t>
  </si>
  <si>
    <t>4.2 out of 5</t>
  </si>
  <si>
    <t>Dishwasher Safe, Electric Stovetop Compatible, Gas Stovetop Compatible, Induction Stovetop Compatible, ManualDishwasher Safe, Electric Stovetop Compatible, Gas Stovetop Compatible, Indu…    See more</t>
  </si>
  <si>
    <t>‎220 Volts</t>
  </si>
  <si>
    <t>Milk Frother, Semi-Automatic</t>
  </si>
  <si>
    <t>KLARSTEIN</t>
  </si>
  <si>
    <t>1.8 litres</t>
  </si>
  <si>
    <t>‎240 Volts</t>
  </si>
  <si>
    <t>Blends elegance, style &amp; function, Cafe quality foam, Easy to use &amp; clean, Powerful performance, great taste, Start your day with milk coffeeBlends elegance, style &amp; function, Cafe quality foam, Easy to use &amp; clean, Powe…    See more</t>
  </si>
  <si>
    <t>Lavazza</t>
  </si>
  <si>
    <t>4.5 out of 5</t>
  </si>
  <si>
    <t>Morphy Richards</t>
  </si>
  <si>
    <t>800 Millilitres</t>
  </si>
  <si>
    <t>3.1 out of 5</t>
  </si>
  <si>
    <t>Auto Shut-Off</t>
  </si>
  <si>
    <t>CONQUECO</t>
  </si>
  <si>
    <t>Auto Clean Function</t>
  </si>
  <si>
    <t>Dualit</t>
  </si>
  <si>
    <t>‎3.43 kg</t>
  </si>
  <si>
    <t>Removable Tank</t>
  </si>
  <si>
    <t>EspressoWorks</t>
  </si>
  <si>
    <t>1.25 litres</t>
  </si>
  <si>
    <t>‎Cup Warmer, Milk Frother, Removable Tank</t>
  </si>
  <si>
    <t>Cup Warmer, Milk Frother, Removable Tank</t>
  </si>
  <si>
    <t>Fellow</t>
  </si>
  <si>
    <t>110 g</t>
  </si>
  <si>
    <t>‎3.39 kg</t>
  </si>
  <si>
    <t>3.8 out of 5</t>
  </si>
  <si>
    <t>Integrated Coffee Grinder</t>
  </si>
  <si>
    <t>GEEPAS</t>
  </si>
  <si>
    <t>HOMCOM</t>
  </si>
  <si>
    <t>2 litres</t>
  </si>
  <si>
    <t>Adjustable Grind Level, Coffee Grinder, Cup Warmer, Milk Frother</t>
  </si>
  <si>
    <t>1.5 litres</t>
  </si>
  <si>
    <t>‎4.2 kg</t>
  </si>
  <si>
    <t>Milk Frother, Touch Display</t>
  </si>
  <si>
    <t>Melitta</t>
  </si>
  <si>
    <t>Programmable</t>
  </si>
  <si>
    <t>4.6 out of 5</t>
  </si>
  <si>
    <t>Sage</t>
  </si>
  <si>
    <t>Coffee Grinder</t>
  </si>
  <si>
    <t>1.4 litres</t>
  </si>
  <si>
    <t>AMZCHEF</t>
  </si>
  <si>
    <t>1350W Heating System, 20 Bar Italian Professional Pump, Compact and Stylish, Fixed Mode &amp; DIY Mode, Powerful Milk Frothing System1350W Heating System, 20 Bar Italian Professional Pump, Compact and Stylis…    See more</t>
  </si>
  <si>
    <t>‎Removable Tank</t>
  </si>
  <si>
    <t>Tassimo</t>
  </si>
  <si>
    <t>0.7 litres</t>
  </si>
  <si>
    <t>‎Auto Clean Function, Auto Shut-Off, Intensity Boost Function, Made from 60% recycled plastic, One Touch Operation</t>
  </si>
  <si>
    <t>Auto Clean Function, Auto Shut-Off, Intensity Boost Function, Made from 60% recycled plastic, One Touch OperationAuto Clean Function, Auto Shut-Off, Intensity Boost Function, Made from 60%…    See more</t>
  </si>
  <si>
    <t>1.3 litres</t>
  </si>
  <si>
    <t>Auto Clean Function, Removable Tank, Water Filter</t>
  </si>
  <si>
    <t>‎120</t>
  </si>
  <si>
    <t>Brass Boiler, Milk Frother, Professional Steam Wand</t>
  </si>
  <si>
    <t>Aigostar</t>
  </si>
  <si>
    <t>0.9 litres</t>
  </si>
  <si>
    <t>‎Capsule Coffee Function, Cup Warmer, Milk Frother, Removable Tank, Single Cup Brew</t>
  </si>
  <si>
    <t>Capsule Coffee Function, Cup Warmer, Milk Frother, Removable Tank, Single Cup Brew</t>
  </si>
  <si>
    <t>Ariete</t>
  </si>
  <si>
    <t>2 Cups</t>
  </si>
  <si>
    <t>‎230</t>
  </si>
  <si>
    <t>1200 Millilitres</t>
  </si>
  <si>
    <t>‎Programmable Auto-On Timer, Thermal Jug</t>
  </si>
  <si>
    <t>Programmable Auto-On Timer, Thermal Jug</t>
  </si>
  <si>
    <t>‎Easy to use</t>
  </si>
  <si>
    <t>Easy to use</t>
  </si>
  <si>
    <t>0.6 litres</t>
  </si>
  <si>
    <t>‎240</t>
  </si>
  <si>
    <t>680 g</t>
  </si>
  <si>
    <t>‎120 Volts</t>
  </si>
  <si>
    <t>0.8 litres</t>
  </si>
  <si>
    <t>‎1</t>
  </si>
  <si>
    <t>Yabano</t>
  </si>
  <si>
    <t>6 Cups</t>
  </si>
  <si>
    <t>‎560 g</t>
  </si>
  <si>
    <t>FRESH VITALITY</t>
  </si>
  <si>
    <t>60 Millilitres</t>
  </si>
  <si>
    <t>‎Portable</t>
  </si>
  <si>
    <t>KOTLIE</t>
  </si>
  <si>
    <t>‎Portable, Programmable, Removable Tank</t>
  </si>
  <si>
    <t>Portable, Programmable, Removable Tank</t>
  </si>
  <si>
    <t>40.8 Fluid Ounces</t>
  </si>
  <si>
    <t>‎Milk Frother, Centrifusion Technology</t>
  </si>
  <si>
    <t>Milk Frother, Centrifusion Technology</t>
  </si>
  <si>
    <t>KitchenAid</t>
  </si>
  <si>
    <t>2.5 litres</t>
  </si>
  <si>
    <t>KRUPS</t>
  </si>
  <si>
    <t>Ninja</t>
  </si>
  <si>
    <t>‎16.3 kg</t>
  </si>
  <si>
    <t>Built-in Coffee Grinder, Top-Rack Dishwasher Safe Removeable Parts.</t>
  </si>
  <si>
    <t>Umisu</t>
  </si>
  <si>
    <t>‎830 g</t>
  </si>
  <si>
    <t>3.7 out of 5</t>
  </si>
  <si>
    <t>3-in-1 design, high pressure pump</t>
  </si>
  <si>
    <t>‎7.5 kg</t>
  </si>
  <si>
    <t>340 g</t>
  </si>
  <si>
    <t>‎Coffee Grinder</t>
  </si>
  <si>
    <t>Sjöstrand Coffee Concept</t>
  </si>
  <si>
    <t>Swan</t>
  </si>
  <si>
    <t>‎Milk Frother, Removable Tank</t>
  </si>
  <si>
    <t>‎Auto Clean Function, Auto Shut-Off, Intensity Boost Function, Made from 35% recycled plastic, One Touch Operation</t>
  </si>
  <si>
    <t>Auto Clean Function, Auto Shut-Off, Intensity Boost Function, Made from 35% recycled plastic, One Touch OperationAuto Clean Function, Auto Shut-Off, Intensity Boost Function, Made from 35%…    See more</t>
  </si>
  <si>
    <t>EVERANGE</t>
  </si>
  <si>
    <t>‎750 g</t>
  </si>
  <si>
    <t>2.1 litres</t>
  </si>
  <si>
    <t>CASABREWS</t>
  </si>
  <si>
    <t>PID Intelligent Temperature Control, Fast Heating Thermoblock System, Pressure Gauge, 20 Bar Italian Pump, Milk Frother Steam Wand, Compact Design, Removable Water Tank, Cup Warmer, Stainless Steel Finish, Fast Heating System, Overheating Protection, Double &amp; Single Shot Options, Removable Drip Tray.PID Intelligent Temperature Control, Fast Heating Thermoblock System, Pre…    See more</t>
  </si>
  <si>
    <t>Chefman</t>
  </si>
  <si>
    <t>‎4.33 kg</t>
  </si>
  <si>
    <t>Milk Frother, Programmable, 15-Bar Pump</t>
  </si>
  <si>
    <t>3.5 litres</t>
  </si>
  <si>
    <t>‎14 kg</t>
  </si>
  <si>
    <t>Adjustable Brew Strength</t>
  </si>
  <si>
    <t>Maestri House</t>
  </si>
  <si>
    <t>20 Bar ULKA Pump, Auto Clean Function, Built-in Flow Meter, Cup Warmer, Lightweight</t>
  </si>
  <si>
    <t>MEMOEVER</t>
  </si>
  <si>
    <t>1 Cups</t>
  </si>
  <si>
    <t>olkezz</t>
  </si>
  <si>
    <t>90 Millilitres</t>
  </si>
  <si>
    <t>20-Bar Professional Pump, Car &amp; RV Compatible USB-C Rechargeable Power System, Dual Brewing Options (Ground Coffee &amp; Nespresso® Capsules), Easy-to-Rinse Components, On-the-Go Coffee Maker20-Bar Professional Pump, Car &amp; RV Compatible USB-C Rechargeable Power Syst…    See more</t>
  </si>
  <si>
    <t>HAILASRE</t>
  </si>
  <si>
    <t>‎Auto Shut-Off, Integrated Coffee Grinder, Milk Frother, Removable Tank</t>
  </si>
  <si>
    <t>Auto Shut-Off, Integrated Coffee Grinder, Milk Frother, Removable Tank</t>
  </si>
  <si>
    <t>RBFGYIOP</t>
  </si>
  <si>
    <t>AMPUTEE</t>
  </si>
  <si>
    <t>Self-heating, Automatic Extraction, 20 Bar Pressure, Portable</t>
  </si>
  <si>
    <t>Nsyee</t>
  </si>
  <si>
    <t>‎520 g</t>
  </si>
  <si>
    <t>obecilc</t>
  </si>
  <si>
    <t>‎600 g</t>
  </si>
  <si>
    <t>Self-heating</t>
  </si>
  <si>
    <t>Portable, Removable Tank, Timer</t>
  </si>
  <si>
    <t>Trendi</t>
  </si>
  <si>
    <t>4 in 1 brewing system, wielsy compatible capsules, ground coffee option, fast heating system, quick brew technology, removable 40oz water tank, adjustable drip tray, compact design, one touch operation, auto shut off, low noise brewing, reusable filter included, energy efficient, portable coffee maker, durable build quality4 in 1 brewing system, wielsy compatible capsules, ground coffee option, fast…    See more</t>
  </si>
  <si>
    <t>Delousiber</t>
  </si>
  <si>
    <t>7 Cups</t>
  </si>
  <si>
    <t>Auto Shut-Off, Portable, Removable Tank</t>
  </si>
  <si>
    <t>PHENOHERE</t>
  </si>
  <si>
    <t>150 ml/min</t>
  </si>
  <si>
    <t>Auto Shut-Off, Includes Hot Plate, Portable</t>
  </si>
  <si>
    <t>AeroPress</t>
  </si>
  <si>
    <t>295.74 Millilitres</t>
  </si>
  <si>
    <t>4.7 out of 5</t>
  </si>
  <si>
    <t>Auto Clean, Manual, Portable</t>
  </si>
  <si>
    <t>‎1.31 kg</t>
  </si>
  <si>
    <t>200s Flash Heating &amp; 20Bar Pro Extraction, 9000mAh Ultra-Endurance Power System, Cup-Mounted Hands-Free Liberation, Dual-Mode Barista Engine, Smart-Brew Tactile Interface200s Flash Heating &amp; 20Bar Pro Extraction, 9000mAh Ultra-Endurance Power Sy…    See more</t>
  </si>
  <si>
    <t>‎28</t>
  </si>
  <si>
    <t>3.5 out of 5</t>
  </si>
  <si>
    <t>Integrated Coffee Grinder, Jug</t>
  </si>
  <si>
    <t>Cup Warmer, Integrated Coffee Grinder, Milk Frother, Programmable, Removable Tank</t>
  </si>
  <si>
    <t>Aptliton</t>
  </si>
  <si>
    <t>2.8 litres</t>
  </si>
  <si>
    <t>4.8 out of 5</t>
  </si>
  <si>
    <t>Beko</t>
  </si>
  <si>
    <t>1100 Millilitres</t>
  </si>
  <si>
    <t>BELLA·BAYS</t>
  </si>
  <si>
    <t>‎Display, Electric, Heated, Portable, Rechargeable</t>
  </si>
  <si>
    <t>Display, Electric, Heated, Portable, Rechargeable</t>
  </si>
  <si>
    <t>230 milligrams</t>
  </si>
  <si>
    <t>1000 Millilitres</t>
  </si>
  <si>
    <t>✔</t>
  </si>
  <si>
    <t>Bialetti</t>
  </si>
  <si>
    <t>Jug</t>
  </si>
  <si>
    <t>500 Centilitres</t>
  </si>
  <si>
    <t>‎5.1 kg</t>
  </si>
  <si>
    <t>Temperature Control, Adjustable Brew Strength</t>
  </si>
  <si>
    <t>Breville</t>
  </si>
  <si>
    <t>47 Fluid Ounces</t>
  </si>
  <si>
    <t>Automatic Milk Frother</t>
  </si>
  <si>
    <t>1.81 kg</t>
  </si>
  <si>
    <t>‎20-Bar Professional Pump, 1350W Powerful Thermoblock heating system, 1.3L Large Removable Water Tank, Powerful Manual Steam Wand for Latte Art, Compact Stainless Steel Design, Removable Drip Tray for Large Cups, Single &amp; Double Shot Filters included, Integrated Cup Warmer.</t>
  </si>
  <si>
    <t>20-Bar Professional Pump, 1350W Powerful Thermoblock heating system, 1.3L Large Removable Water Tank, Powerful Manual Steam Wand for Latte Art, Compact Stainless Steel Design, Removable Drip Tray for Large Cups, Single &amp; Double Shot Filters included, Integrated Cup Warmer.20-Bar Professional Pump, 1350W Powerful Thermoblock heating syst…    See more</t>
  </si>
  <si>
    <t>Cecotec</t>
  </si>
  <si>
    <t>1500 Millilitres</t>
  </si>
  <si>
    <t>Steam Wand, Fully Automatic</t>
  </si>
  <si>
    <t>CERA+</t>
  </si>
  <si>
    <t>‎Lightweight</t>
  </si>
  <si>
    <t>Lightweight</t>
  </si>
  <si>
    <t>CIARRA</t>
  </si>
  <si>
    <t>180 Millilitres</t>
  </si>
  <si>
    <t>Single Cup Brew</t>
  </si>
  <si>
    <t>‎1.35 kg</t>
  </si>
  <si>
    <t>Auto Shut-Off, Portable, Single Cup Brew</t>
  </si>
  <si>
    <t>2.6 litres</t>
  </si>
  <si>
    <t>Integrated Coffee Grinder, Manual Milk Frother, Professional Portafilter</t>
  </si>
  <si>
    <t>COSTWAY</t>
  </si>
  <si>
    <t>1200W</t>
  </si>
  <si>
    <t>Cuisinart</t>
  </si>
  <si>
    <t>‎4.95 kg</t>
  </si>
  <si>
    <t>‎5.9 kg</t>
  </si>
  <si>
    <t>CUSIMAX</t>
  </si>
  <si>
    <t>3 Coffee Programmes, Adjustable Brew Strength, Auto Shut-Off, Lightweight and Portable, Removable Tank3 Coffee Programmes, Adjustable Brew Strength, Auto Shut-Off, Lightweight…    See more</t>
  </si>
  <si>
    <t>‎3.25 kg</t>
  </si>
  <si>
    <t>0.88 Tons</t>
  </si>
  <si>
    <t>‎1350 watts</t>
  </si>
  <si>
    <t>15-bar pressure, My Latte Art, Fast heat-up</t>
  </si>
  <si>
    <t>1.6 litres</t>
  </si>
  <si>
    <t>Milk Frother, Programmable</t>
  </si>
  <si>
    <t>Removable drip tray and Anti-drip system</t>
  </si>
  <si>
    <t>Descaler</t>
  </si>
  <si>
    <t>‎230 Volts</t>
  </si>
  <si>
    <t>Espresso Boost</t>
  </si>
  <si>
    <t>2.2 litres</t>
  </si>
  <si>
    <t>Diguo</t>
  </si>
  <si>
    <t>500 Millilitres</t>
  </si>
  <si>
    <t>‎2.61 kg</t>
  </si>
  <si>
    <t>Thermal</t>
  </si>
  <si>
    <t>250 g</t>
  </si>
  <si>
    <t>Integrated Coffee Grinder, Customizable Grind Settings, Intelligent Operation, Dedicated Descale FunctionIntegrated Coffee Grinder, Customizable Grind Settings, Intelligent Operat…    See more</t>
  </si>
  <si>
    <t>SUMSATY</t>
  </si>
  <si>
    <t>SUPERLEX</t>
  </si>
  <si>
    <t>‎Auto Shut-Off, Portable, Rechargeable</t>
  </si>
  <si>
    <t>Auto Shut-Off, Portable, Rechargeable</t>
  </si>
  <si>
    <t>‎4.72 kg</t>
  </si>
  <si>
    <t>One-Touch Operation, Guided Timers, Adjustable Steam Wand</t>
  </si>
  <si>
    <t>‎Auto Shut-Off, Cup Warmer, Milk Frother, One Touch Brew, Removable Tank</t>
  </si>
  <si>
    <t>Auto Shut-Off, Cup Warmer, Milk Frother, One Touch Brew, Removable Tank</t>
  </si>
  <si>
    <t>FOHERE</t>
  </si>
  <si>
    <t>‎2.05 kg</t>
  </si>
  <si>
    <t>Didiesse</t>
  </si>
  <si>
    <t>‎Black</t>
  </si>
  <si>
    <t>Auto Shut-Off, Milk Frother, PID and automatic pre-infusion, Removable water tank 1.2 litres</t>
  </si>
  <si>
    <t>1.7 kg</t>
  </si>
  <si>
    <t>Integrated Coffee Grinder, Programmable, Removable Tank, Sleek and Modern with a drink menu of 12 customizable options. Cappuccino machines, Cappuccino Maker, Espresso Machine with Automatic Milk Carafe, Water FilterIntegrated Coffee Grinder, Programmable, Removable Tank, Sleek and Modern w…    See more</t>
  </si>
  <si>
    <t>High Lift Carriage, Programmable, Variable Browning Control</t>
  </si>
  <si>
    <t>‎5.5 kg</t>
  </si>
  <si>
    <t>3.4 out of 5</t>
  </si>
  <si>
    <t>‎4 kg</t>
  </si>
  <si>
    <t>Godmorn</t>
  </si>
  <si>
    <t>450 Millilitres</t>
  </si>
  <si>
    <t>‎790 g</t>
  </si>
  <si>
    <t>GRIFEMA</t>
  </si>
  <si>
    <t>‎4.42 kg</t>
  </si>
  <si>
    <t>Cup Warmer</t>
  </si>
  <si>
    <t>Hamilton Beach</t>
  </si>
  <si>
    <t>1200 litres</t>
  </si>
  <si>
    <t>‎Auto Clean Function</t>
  </si>
  <si>
    <t>3.3 out of 5</t>
  </si>
  <si>
    <t>HIBREW</t>
  </si>
  <si>
    <t>‎58mm Portafilter, Auto Shut-Off, Cup Warmer, Milk Frother, Programmable</t>
  </si>
  <si>
    <t>58mm Portafilter, Auto Shut-Off, Cup Warmer, Milk Frother, Programmable</t>
  </si>
  <si>
    <t>100 Millilitres</t>
  </si>
  <si>
    <t>Adjustable Brew Strength, Lightweight, Permanent Filter, Portable</t>
  </si>
  <si>
    <t>IKAPE</t>
  </si>
  <si>
    <t>‎1.2 kg</t>
  </si>
  <si>
    <t>KARACA</t>
  </si>
  <si>
    <t>Keurig</t>
  </si>
  <si>
    <t>72 Fluid Ounces</t>
  </si>
  <si>
    <t>‎4.56 kg</t>
  </si>
  <si>
    <t>PressureInfusion Technology, Single Cup Brew, Water Filter</t>
  </si>
  <si>
    <t>‎Dose selector</t>
  </si>
  <si>
    <t>Dose selector</t>
  </si>
  <si>
    <t>‎3.2 kg</t>
  </si>
  <si>
    <t>Milk Frother, Thermal</t>
  </si>
  <si>
    <t>2.3 litres</t>
  </si>
  <si>
    <t>‎Programmable</t>
  </si>
  <si>
    <t>1.25</t>
  </si>
  <si>
    <t>Water level indicator and Anti-drip function</t>
  </si>
  <si>
    <t>Programmable, Timer</t>
  </si>
  <si>
    <t>La Pavoni</t>
  </si>
  <si>
    <t>2 out of 5</t>
  </si>
  <si>
    <t>lakeland</t>
  </si>
  <si>
    <t>700 Millilitres</t>
  </si>
  <si>
    <t>‎2.92 kg</t>
  </si>
  <si>
    <t>Permanent Filter</t>
  </si>
  <si>
    <t>‎5.14 kg</t>
  </si>
  <si>
    <t>‎7.95 kg</t>
  </si>
  <si>
    <t>2.3 out of 5</t>
  </si>
  <si>
    <t>CAPXSNOB</t>
  </si>
  <si>
    <t>600 Millilitres</t>
  </si>
  <si>
    <t>Adjustable Brew Strength, Auto Shut-Off, Portable, Removable Tank, Single Cup Brew</t>
  </si>
  <si>
    <t>MisterChef</t>
  </si>
  <si>
    <t>‎4.97 kg</t>
  </si>
  <si>
    <t>Self-Cleaning</t>
  </si>
  <si>
    <t>15 Bars of Pressure, Integrated Milk Frother, LED Illuminated Buttons, 1L Detachable Water Tank, Overheat &amp; Overpressure Protection, Detachable Drip Tray, 45s Preheat time, 20s-40s Brewing Time, 29 Min standby,15 Bars of Pressure, Integrated Milk Frother, LED Illuminated Buttons, 1L De…    See more</t>
  </si>
  <si>
    <t>1.6 out of 5</t>
  </si>
  <si>
    <t>Auto Shut-Off, Lightweight</t>
  </si>
  <si>
    <t>RECAFIMIL</t>
  </si>
  <si>
    <t>765 g</t>
  </si>
  <si>
    <t>i Cafilas</t>
  </si>
  <si>
    <t>‎3.96 kg</t>
  </si>
  <si>
    <t>1.5 out of 5</t>
  </si>
  <si>
    <t>Auto Clean Function, Auto Shut-Off, Permanent Filter, Removable Tank, Self-Cleaning</t>
  </si>
  <si>
    <t>KEEPLUCK</t>
  </si>
  <si>
    <t>‎Auto Shut-Off, Lightweight, Portable, Programmable, Removable Tank</t>
  </si>
  <si>
    <t>Auto Shut-Off, Lightweight, Portable, Programmable, Removable Tank</t>
  </si>
  <si>
    <t>0.8</t>
  </si>
  <si>
    <t>1597 Millilitres</t>
  </si>
  <si>
    <t>‎Adjustable Brew Strength, Auto Shut-Off</t>
  </si>
  <si>
    <t>Adjustable Brew Strength, Auto Shut-Off</t>
  </si>
  <si>
    <t>Gubbett</t>
  </si>
  <si>
    <t>Rapid Heating, Battery-Powered</t>
  </si>
  <si>
    <t>NGT</t>
  </si>
  <si>
    <t>Portable, Self-Heating, Compatible with Multiple Coffee Types</t>
  </si>
  <si>
    <t>‎980 g</t>
  </si>
  <si>
    <t>70 Millilitres</t>
  </si>
  <si>
    <t>Outdoor Recommended</t>
  </si>
  <si>
    <t>Rechargeable Battery, Fast USB-C Charging, Portable Design, Auto Shut-off, IP67 Waterproof, Travel Friendly, LightweightRechargeable Battery, Fast USB-C Charging, Portable Design, Auto Shut-off, IP6…    See more</t>
  </si>
  <si>
    <t>Philips</t>
  </si>
  <si>
    <t>Milchaufschäumer</t>
  </si>
  <si>
    <t>Automatisches Mahlwerk, Einzeltassengebräu</t>
  </si>
  <si>
    <t>Integrierte Kaffeemühle</t>
  </si>
  <si>
    <t>‎5 kg</t>
  </si>
  <si>
    <t>Polti</t>
  </si>
  <si>
    <t>‎Auto Shut-Off, Milk Frother, Removable Tank</t>
  </si>
  <si>
    <t>Auto Shut-Off, Milk Frother, Removable Tank</t>
  </si>
  <si>
    <t>0.85 litres</t>
  </si>
  <si>
    <t>‎Auto Shut-Off, Programmable, Removable Tank</t>
  </si>
  <si>
    <t>Auto Shut-Off, Programmable, Removable Tank</t>
  </si>
  <si>
    <t>Yospinber</t>
  </si>
  <si>
    <t>150 Millilitres</t>
  </si>
  <si>
    <t>JORPETS</t>
  </si>
  <si>
    <t>‎5 Volts</t>
  </si>
  <si>
    <t>Bekasa</t>
  </si>
  <si>
    <t>Mineup</t>
  </si>
  <si>
    <t>0.5 Centiliters per Second</t>
  </si>
  <si>
    <t>‎800 g</t>
  </si>
  <si>
    <t>Heating Function, Portable, Single Cup Brew</t>
  </si>
  <si>
    <t>Kssiaz</t>
  </si>
  <si>
    <t>‎899 g</t>
  </si>
  <si>
    <t>Self-Heating, Portable, Cold/Hot Water Compatibility</t>
  </si>
  <si>
    <t>kejector</t>
  </si>
  <si>
    <t>‎850 g</t>
  </si>
  <si>
    <t>Auto Clean Function, Lightweight, Single Cup Brew</t>
  </si>
  <si>
    <t>MoraRise</t>
  </si>
  <si>
    <t>Cup Warmer, Milk Frother, Removable Tank, Self-Cleaning, Concial Burr Grinder, 20 Bar High Pressure, 30 Grind SettingsCup Warmer, Milk Frother, Removable Tank, Self-Cleaning, Concial Burr Gri…    See more</t>
  </si>
  <si>
    <t>Quest</t>
  </si>
  <si>
    <t>‎Milk Frother, Permanent Filter, Removable Tank, Single Cup Brew, Water Filter</t>
  </si>
  <si>
    <t>Milk Frother, Permanent Filter, Removable Tank, Single Cup Brew, Water Filter</t>
  </si>
  <si>
    <t>Generic</t>
  </si>
  <si>
    <t>Milk Frother, barista, coffee brewing, home coffee, kitchen appliance</t>
  </si>
  <si>
    <t>Russell Hobbs</t>
  </si>
  <si>
    <t>‎Iconic Retro gauge indicates mode selected and when temperature reached, Powerful 15 bar pump pressure, Retro styling with high gloss colour and stainless steel accents, for premium look, Thermo-block heater for powerful heating, consistent temperature and quick switch between brew &amp; steam, Use with grounds or ESE pods</t>
  </si>
  <si>
    <t>Iconic Retro gauge indicates mode selected and when temperature reached, Powerful 15 bar pump pressure, Retro styling with high gloss colour and stainless steel accents, for premium look, Thermo-block heater for powerful heating, consistent temperature and quick switch between brew &amp; steam, Use with grounds or ESE podsIconic Retro gauge indicates mode selected and when temperature reached, Pow…    See more</t>
  </si>
  <si>
    <t>Integrated Coffee Grinder, Programmable</t>
  </si>
  <si>
    <t>2.8 out of 5</t>
  </si>
  <si>
    <t>Cup warmer (fits 4 espresso cups) and guide rails, Portafilter – single, double shots, ESE pods, Removable drip tray for easy cleaning, Removable water tank with handle, Steam wand for milk warming/frothing &amp; hot water dispenserCup warmer (fits 4 espresso cups) and guide rails, Portafilter – single, double…    See more</t>
  </si>
  <si>
    <t>Salter</t>
  </si>
  <si>
    <t>0.4 litres</t>
  </si>
  <si>
    <t>‎Adjustable Brew Strength, Auto Shut-Off, Integrated Coffee Grinder, Lightweight, Portable, Programmable, Removable Tank, Single Cup Brew, Thermal, Timer</t>
  </si>
  <si>
    <t>Adjustable Brew Strength, Auto Shut-Off, Integrated Coffee Grinder, Lightweight, Portable, Programmable, Removable Tank, Single Cup Brew, Thermal, TimerAdjustable Brew Strength, Auto Shut-Off, Integrated Coffee Grinder, Lightweigh…    See more</t>
  </si>
  <si>
    <t>‎Espresso Machine, Latte, Cappuccino, Macchiato, Caramel, Pumpkin Spice, Milk Frothing Wand, 15 Bar pressure pump, removable and washable drip tray, 850w power, 1.4l tank, Single &amp; Double Espresso</t>
  </si>
  <si>
    <t>Espresso Machine, Latte, Cappuccino, Macchiato, Caramel, Pumpkin Spice, Milk Frothing Wand, 15 Bar pressure pump, removable and washable drip tray, 850w power, 1.4l tank, Single &amp; Double EspressoEspresso Machine, Latte, Cappuccino, Macchiato, Caramel, Pumpkin Spice,…    See more</t>
  </si>
  <si>
    <t>1.35 litres</t>
  </si>
  <si>
    <t>SHARDOR</t>
  </si>
  <si>
    <t>354 g</t>
  </si>
  <si>
    <t>‎16.2 kg</t>
  </si>
  <si>
    <t>57.48 Fluid Ounces</t>
  </si>
  <si>
    <t>1 out of 5</t>
  </si>
  <si>
    <t>Jug, Milk Frother, Removable Tank, Thermal</t>
  </si>
  <si>
    <t>Spector</t>
  </si>
  <si>
    <t>20 Cups</t>
  </si>
  <si>
    <t>TWOMEOW</t>
  </si>
  <si>
    <t>Adjustable cup size, Auto Clean Function, Auto Shut-Off, Includes 70 drinks from well loved brands like Costa, Cadburys, Kenco and Lor ., One Touch Drinks Maker for coffee and milky drinksAdjustable cup size, Auto Clean Function, Auto Shut-Off, Includes 70 drinks fro…    See more</t>
  </si>
  <si>
    <t>One button operation, Programmable, Removable Tank, Uses intellibrew technology, Water Filter</t>
  </si>
  <si>
    <t>Tjean</t>
  </si>
  <si>
    <t>‎12 kg</t>
  </si>
  <si>
    <t>Cup Warmer, Integrated Coffee Grinder, Removable Tank</t>
  </si>
  <si>
    <t>Rymic</t>
  </si>
  <si>
    <t>‎3.8 kg</t>
  </si>
  <si>
    <t>‎3.85 kg</t>
  </si>
  <si>
    <t>Auto Shut-Off, Lightweight, Portable, Removable Tank, Single Cup Brew</t>
  </si>
  <si>
    <t>‎Auto Shut-Off, Lightweight, Portable, Removable Tank, Single Cup Brew</t>
  </si>
  <si>
    <t>Urnex</t>
  </si>
  <si>
    <t>Concentrated</t>
  </si>
  <si>
    <t>‎Concentrated</t>
  </si>
  <si>
    <t>VonShef</t>
  </si>
  <si>
    <t>✘</t>
  </si>
  <si>
    <t>300ml Capacity, With Replacement Gasket</t>
  </si>
  <si>
    <t>Manual operation, portable</t>
  </si>
  <si>
    <t>2.7 Fluid Ounces</t>
  </si>
  <si>
    <t>‎363 g</t>
  </si>
  <si>
    <t>D, Milk Frother, Thermal</t>
  </si>
  <si>
    <t>‎290 g</t>
  </si>
  <si>
    <t>Compatible with NS original capsules and compatibles, Manual, Portable</t>
  </si>
  <si>
    <t>wirsh</t>
  </si>
  <si>
    <t>1.19 kg</t>
  </si>
  <si>
    <t>XIAOMI</t>
  </si>
  <si>
    <t>15 bar pump and steam wand for milk</t>
  </si>
  <si>
    <t>Y-Step</t>
  </si>
  <si>
    <t>WDT Tool, Dosing Funnel, Latte Art Pen</t>
  </si>
  <si>
    <t>‎5.04 kg</t>
  </si>
  <si>
    <t>Integrated Coffee Grinder, Customizable Grind Settings, Intelligent Operation, Dedicated Descale FunctionIntegrated Coffee Grinder, Customizable Grind Settings</t>
  </si>
  <si>
    <t xml:space="preserve">Cup Warmer, Milk Frother, Removable Tank, Self-Cleaning, Concial Burr Grinder, 20 Bar High Pressure, 30 Grind SettingsCup Warmer, Milk Frother, Removable Tank, Self-Cleaning </t>
  </si>
  <si>
    <t>Rechargeable Battery, Fast USB-C Charging, Portable Design, Auto Shut-off, IP67 Waterproof, Travel Friendly, LightweightRechargeable Battery, Fast USB-C Charging, Portable Design, Auto Shut-off</t>
  </si>
  <si>
    <t>3 Coffee Programmes, Adjustable Brew Strength, Auto Shut-Off, Lightweight and Portable, Removable Tank3 Coffee Programmes, Adjustable Brew Strength, Auto Shut-Off</t>
  </si>
  <si>
    <t>1350W Heating System, 20 Bar Italian Professional Pump, Compact and Stylish, Fixed Mode &amp; DIY Mode, Powerful Milk Frothing System1350W Heating System, 20 Bar Italian Professional Pump</t>
  </si>
  <si>
    <t>Auto Clean Function, Auto Shut-Off, Intensity Boost Function, Made from 60% recycled plastic, One Touch OperationAuto Clean Function, Auto Shut-Off, Intensity Boost Function</t>
  </si>
  <si>
    <t>Auto Clean Function, Auto Shut-Off, Intensity Boost Function, Made from 35% recycled plastic, One Touch OperationAuto Clean Function, Auto Shut-Off, Intensity Boost Function</t>
  </si>
  <si>
    <t xml:space="preserve">Auto Shut-Off, Milk Frother, PID and automatic pre-infusion, Removable water tank 1.2 </t>
  </si>
  <si>
    <t>Weight (KG)</t>
  </si>
  <si>
    <t>Reviews (Out of 5)</t>
  </si>
  <si>
    <t>Automatic grinder for single cup brewing.</t>
  </si>
  <si>
    <t>Milk frother</t>
  </si>
  <si>
    <t xml:space="preserve">
Magician1 Mini Multi-Capsule Coffee Machine 5-in-1 for Nespresso, Dolce Gusto, Starbucks, ESE 44mm Pods, A Modo Mio and Ground Coffee, 20Bars, 1450W, Hot &amp; Cold Brew Espresso Machine for Home Dorm
4.2
4.2 out of 5 stars
 (61)  
40+ bought in past month
Price, product page£149.99£149.99
£18.00 off coupon applied
Save £18.00  with voucher
FREE delivery Tue 10 Mar
Or fastest delivery Tomorrow, 8 Mar
 Recycled materials +2 more
Sustainability features
This product has sustainability features recognised by trusted certifications. 
Recycled materials
Contains at least 50% recycled material.
As certified by
Global Recycled Standard
Learn more about Global Recycled Standard
Global Recycled Standard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
Certification body
USB Certification
Certification number
TE-00333312
Safer chemicals
Made with chemicals safer for human health and the environment.
As certified by
Global Recycled Standard
Learn more about Global Recycled Standard
Global Recycled Standard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
Certification body
USB Certification
Certification number
TE-00333312
Worker well-being
Manufactured on farms or in facilities that protect the rights and/or health of workers.
As certified by
Global Recycled Standard
Learn more about Global Recycled Standard
Global Recycled Standard
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
Certification body
USB Certification
Certification number
TE-00333312
Discover more products with sustainability features. Learn more
Add to basket</t>
  </si>
  <si>
    <t xml:space="preserve">
BENFUCHEN Portable Electric Espresso Machine, Travel Coffee Maker for Camping, On the Go Car Coffee Maker Self-Heating with USB-C, With Ground Coffee &amp; N Espresso Capsule for RV/Hiking/Office, White
3.9
3.9 out of 5 stars
 (74)  
Price, product page£65.99£65.99
FREE delivery Tue 10 Mar
Or fastest delivery Tomorrow, 8 Mar
Only 14 left in stock.
Add to basket</t>
  </si>
  <si>
    <t>Grinder</t>
  </si>
  <si>
    <t>Portable Electric Espresso Machine - 3 IN 1 PORTABLE ESPRESSO COFFEE MAKER</t>
  </si>
  <si>
    <t>Ideal for travel, camping, office, or car. Fits easily in bags—enjoy coffee anywhere</t>
  </si>
  <si>
    <t>Capsule Coffee Machine, Pod Machine, Stainless Steel Body, Espresso or Lungo Coffee, 1.2L Tank Capacity, 19 bar Pressure, Beige</t>
  </si>
  <si>
    <t>Hygienic Milk Carafe Perfect for milk-based drinks. Automatic Espresso Coffee Machine, 1500W, 1,5L, Integrated Milk Frother, Touch LED Display, Large Water Tank &amp; Cup Warmer, Grinder, Black</t>
  </si>
  <si>
    <t>Auto milk froth &amp; clean cycle. ully automatic espresso machine KF8 is the ultimate way to explore a world of espresso. With 40+ pre-set recipes and a unique plant-based mode.</t>
  </si>
  <si>
    <t>Automatic Milk Carafe, Water Filter Integrated Coffee Grinder, Programmable, Removable Tank</t>
  </si>
  <si>
    <t>Iconic Retro gauge indicates mode selected and when temperature reached, Powerful 15 bar pump pressure</t>
  </si>
  <si>
    <t>PID Intelligent Temperature Control, Fast Heating Thermoblock System, Pressure Gauge, 20 Bar Italian Pump, Milk Frother Steam Wand, Compact Design, Removable Water Tank</t>
  </si>
  <si>
    <t xml:space="preserve">Removable drip tray for easy cleaning, Removable water tank with handle, Steam wand for milk frothing &amp; hot water dispenser Cup warmer </t>
  </si>
  <si>
    <t>Count of Brand</t>
  </si>
  <si>
    <t>Row Labels</t>
  </si>
  <si>
    <t>Grand Total</t>
  </si>
  <si>
    <t>Brand Name</t>
  </si>
  <si>
    <t>Market Share (%)</t>
  </si>
  <si>
    <t>HHI</t>
  </si>
  <si>
    <t>C4</t>
  </si>
  <si>
    <t>Count of top 4</t>
  </si>
  <si>
    <t xml:space="preserve">total </t>
  </si>
  <si>
    <t>Sum of Number of reviews</t>
  </si>
  <si>
    <t>C4 (%)</t>
  </si>
  <si>
    <t>C4 with merger (%)</t>
  </si>
  <si>
    <t>HHI with merger</t>
  </si>
  <si>
    <t>Market share with merger</t>
  </si>
  <si>
    <t xml:space="preserve">Total </t>
  </si>
  <si>
    <t xml:space="preserve">Market share ratings </t>
  </si>
  <si>
    <t>Market share ratings with merger</t>
  </si>
  <si>
    <t xml:space="preserve">Market share product listings </t>
  </si>
  <si>
    <t>Market share product listings with merger</t>
  </si>
  <si>
    <t>total rows</t>
  </si>
  <si>
    <t xml:space="preserve">Complete rows </t>
  </si>
  <si>
    <t>20-Bar Professional Pump, 1350W Powerful Thermoblock heating system, 1.3L Large Removable Water Tank, Powerful Manual Steam Wand for Latte Art, Compact Stainless Steel Design</t>
  </si>
  <si>
    <t>Adjustable cup size, Auto Clean Function, Auto Shut-Off</t>
  </si>
  <si>
    <t>15 Bars of Pressure, Integrated Milk Frother, LED Illuminated Buttons, 1L Detachable Water Tank, Overheat &amp; Overpressure Protection</t>
  </si>
  <si>
    <t>Espresso Machine, Latte, Cappuccino, Macchiato, Caramel, Pumpkin Spice, Milk Frothing Wand, 15 Bar pressure pump</t>
  </si>
  <si>
    <t>Adjustable Brew Strength, Auto Shut-Off, Integrated Coffee Grinder, Lightweight, Portable, Programmable, Removable Tank, Auto Shut-Off, Integrated Coffee Grinder</t>
  </si>
  <si>
    <t>200s Flash Heating &amp; 20Bar Pro Extraction, 9000mAh Ultra-Endurance Power System, Cup-Mounted Hands-Free Liberation, Dual-Mode Barista Engine</t>
  </si>
  <si>
    <t>20-Bar Professional Pump, Car &amp; RV Compatible USB-C Rechargeable Power System, Dual Brewing Options</t>
  </si>
  <si>
    <t xml:space="preserve"> ground coffee option, removable 40oz water tank, adjustable drip tray, compact design, one touch operation, auto shut off, low noise brewing, portable coffee maker</t>
  </si>
  <si>
    <t>Product Information</t>
  </si>
  <si>
    <t>Figure 1: Scatter Plot Illustrating the Correlation Between Weight and Price for Espresso Machines</t>
  </si>
  <si>
    <t>Electric, Gas, and Induction Stovetop Compatible</t>
  </si>
  <si>
    <t>Portable, Auto Shut-off</t>
  </si>
  <si>
    <t>Count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</si>
</sst>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8"/>
      <color theme="1"/>
      <name val="Aptos Narrow"/>
      <family val="2"/>
      <scheme val="minor"/>
    </font>
    <font>
      <b/>
      <sz val="11"/>
      <color theme="1"/>
      <name val="Aptos Narrow"/>
      <family val="2"/>
      <scheme val="minor"/>
    </font>
    <font>
      <b/>
      <sz val="11"/>
      <color theme="1"/>
      <name val="Aptos Narrow"/>
      <scheme val="minor"/>
    </font>
  </fonts>
  <fills count="4">
    <fill>
      <patternFill patternType="none"/>
    </fill>
    <fill>
      <patternFill patternType="gray125"/>
    </fill>
    <fill>
      <patternFill patternType="solid">
        <fgColor theme="2"/>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6">
    <xf numFmtId="0" fontId="0" fillId="0" borderId="0" xfId="0"/>
    <xf numFmtId="2" fontId="0" fillId="0" borderId="0" xfId="0" applyNumberFormat="1"/>
    <xf numFmtId="0" fontId="2" fillId="0" borderId="0" xfId="0" applyFont="1"/>
    <xf numFmtId="0" fontId="2" fillId="2" borderId="0" xfId="0" applyFont="1" applyFill="1"/>
    <xf numFmtId="0" fontId="0" fillId="0" borderId="0" xfId="0" pivotButton="1"/>
    <xf numFmtId="0" fontId="0" fillId="0" borderId="0" xfId="0" applyAlignment="1">
      <alignment horizontal="left"/>
    </xf>
    <xf numFmtId="0" fontId="0" fillId="3" borderId="0" xfId="0" applyFill="1"/>
    <xf numFmtId="0" fontId="4" fillId="3" borderId="0" xfId="0" applyFont="1" applyFill="1"/>
    <xf numFmtId="0" fontId="0" fillId="3" borderId="2" xfId="0" applyFill="1" applyBorder="1" applyAlignment="1">
      <alignment horizontal="left"/>
    </xf>
    <xf numFmtId="0" fontId="0" fillId="3" borderId="2" xfId="0" applyFill="1" applyBorder="1"/>
    <xf numFmtId="0" fontId="3" fillId="3" borderId="1" xfId="0" applyFont="1" applyFill="1" applyBorder="1" applyAlignment="1">
      <alignment horizontal="center"/>
    </xf>
    <xf numFmtId="0" fontId="0" fillId="2" borderId="0" xfId="0" applyFill="1"/>
    <xf numFmtId="0" fontId="4" fillId="2" borderId="0" xfId="0" applyFont="1" applyFill="1"/>
    <xf numFmtId="0" fontId="0" fillId="0" borderId="0" xfId="0" applyAlignment="1">
      <alignment horizontal="center"/>
    </xf>
    <xf numFmtId="0" fontId="1" fillId="0" borderId="0" xfId="0" applyFont="1"/>
    <xf numFmtId="2" fontId="1" fillId="0" borderId="0" xfId="0" applyNumberFormat="1" applyFont="1"/>
  </cellXfs>
  <cellStyles count="1">
    <cellStyle name="Normal" xfId="0" builtinId="0"/>
  </cellStyles>
  <dxfs count="37">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2" formatCode="0.00"/>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border>
        <top style="thin">
          <color indexed="64"/>
        </top>
      </border>
    </dxf>
    <dxf>
      <border>
        <top style="thin">
          <color indexed="64"/>
        </top>
      </border>
    </dxf>
    <dxf>
      <fill>
        <patternFill patternType="solid">
          <bgColor theme="2" tint="-9.9978637043366805E-2"/>
        </patternFill>
      </fill>
    </dxf>
    <dxf>
      <fill>
        <patternFill patternType="solid">
          <bgColor theme="2" tint="-9.9978637043366805E-2"/>
        </patternFill>
      </fill>
    </dxf>
    <dxf>
      <border>
        <bottom style="thin">
          <color indexed="64"/>
        </bottom>
      </border>
    </dxf>
    <dxf>
      <border>
        <bottom style="thin">
          <color indexed="64"/>
        </bottom>
      </border>
    </dxf>
    <dxf>
      <font>
        <b/>
      </font>
    </dxf>
    <dxf>
      <font>
        <b/>
      </font>
    </dxf>
    <dxf>
      <fill>
        <patternFill>
          <bgColor theme="2" tint="-9.9978637043366805E-2"/>
        </patternFill>
      </fill>
    </dxf>
    <dxf>
      <fill>
        <patternFill>
          <bgColor theme="2" tint="-9.9978637043366805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'Scatter plot'!$E$1:$K$1</c:f>
              <c:strCache>
                <c:ptCount val="1"/>
                <c:pt idx="0">
                  <c:v>Figure 1: Scatter Plot Illustrating the Correlation Between Weight and Price for Espresso Machines</c:v>
                </c:pt>
              </c:strCache>
            </c:strRef>
          </c:tx>
          <c:spPr>
            <a:ln w="38100" cap="rnd">
              <a:noFill/>
              <a:round/>
            </a:ln>
            <a:effectLst/>
          </c:spPr>
          <c:marker>
            <c:symbol val="circle"/>
            <c:size val="2"/>
            <c:spPr>
              <a:solidFill>
                <a:schemeClr val="tx1"/>
              </a:solidFill>
              <a:ln w="1270">
                <a:solidFill>
                  <a:schemeClr val="tx1"/>
                </a:solidFill>
              </a:ln>
              <a:effectLst/>
            </c:spPr>
          </c:marker>
          <c:xVal>
            <c:numRef>
              <c:f>'Scatter plot'!$A$2:$A$126</c:f>
              <c:numCache>
                <c:formatCode>General</c:formatCode>
                <c:ptCount val="125"/>
                <c:pt idx="0">
                  <c:v>10.75</c:v>
                </c:pt>
                <c:pt idx="1">
                  <c:v>12.7</c:v>
                </c:pt>
                <c:pt idx="2">
                  <c:v>5.5</c:v>
                </c:pt>
                <c:pt idx="3">
                  <c:v>13</c:v>
                </c:pt>
                <c:pt idx="4">
                  <c:v>4.99</c:v>
                </c:pt>
                <c:pt idx="5">
                  <c:v>7.7</c:v>
                </c:pt>
                <c:pt idx="6">
                  <c:v>4.9400000000000004</c:v>
                </c:pt>
                <c:pt idx="7">
                  <c:v>10.19</c:v>
                </c:pt>
                <c:pt idx="8">
                  <c:v>9</c:v>
                </c:pt>
                <c:pt idx="9">
                  <c:v>8.1</c:v>
                </c:pt>
                <c:pt idx="10">
                  <c:v>8.1</c:v>
                </c:pt>
                <c:pt idx="11">
                  <c:v>10.5</c:v>
                </c:pt>
                <c:pt idx="12">
                  <c:v>4.7</c:v>
                </c:pt>
                <c:pt idx="13">
                  <c:v>16.3</c:v>
                </c:pt>
                <c:pt idx="14">
                  <c:v>9.4</c:v>
                </c:pt>
                <c:pt idx="15">
                  <c:v>12</c:v>
                </c:pt>
                <c:pt idx="16">
                  <c:v>6</c:v>
                </c:pt>
                <c:pt idx="17">
                  <c:v>10</c:v>
                </c:pt>
                <c:pt idx="18">
                  <c:v>5</c:v>
                </c:pt>
                <c:pt idx="19">
                  <c:v>0.26</c:v>
                </c:pt>
                <c:pt idx="20">
                  <c:v>7.4</c:v>
                </c:pt>
                <c:pt idx="21">
                  <c:v>8</c:v>
                </c:pt>
                <c:pt idx="22">
                  <c:v>5</c:v>
                </c:pt>
                <c:pt idx="23">
                  <c:v>14</c:v>
                </c:pt>
                <c:pt idx="24">
                  <c:v>5</c:v>
                </c:pt>
                <c:pt idx="25">
                  <c:v>5</c:v>
                </c:pt>
                <c:pt idx="26">
                  <c:v>5</c:v>
                </c:pt>
                <c:pt idx="27">
                  <c:v>4.37</c:v>
                </c:pt>
                <c:pt idx="28">
                  <c:v>4.97</c:v>
                </c:pt>
                <c:pt idx="29">
                  <c:v>4.0999999999999996</c:v>
                </c:pt>
                <c:pt idx="30">
                  <c:v>7.95</c:v>
                </c:pt>
                <c:pt idx="31">
                  <c:v>12</c:v>
                </c:pt>
                <c:pt idx="32">
                  <c:v>7.63</c:v>
                </c:pt>
                <c:pt idx="33">
                  <c:v>7.5</c:v>
                </c:pt>
                <c:pt idx="34">
                  <c:v>4.97</c:v>
                </c:pt>
                <c:pt idx="35">
                  <c:v>4.2</c:v>
                </c:pt>
                <c:pt idx="36">
                  <c:v>4.0999999999999996</c:v>
                </c:pt>
                <c:pt idx="37">
                  <c:v>4.5599999999999996</c:v>
                </c:pt>
                <c:pt idx="38">
                  <c:v>4</c:v>
                </c:pt>
                <c:pt idx="39">
                  <c:v>5.2</c:v>
                </c:pt>
                <c:pt idx="40">
                  <c:v>1.2</c:v>
                </c:pt>
                <c:pt idx="41">
                  <c:v>4.4000000000000004</c:v>
                </c:pt>
                <c:pt idx="42">
                  <c:v>4.2</c:v>
                </c:pt>
                <c:pt idx="43">
                  <c:v>4.2</c:v>
                </c:pt>
                <c:pt idx="44">
                  <c:v>0.68500000000000005</c:v>
                </c:pt>
                <c:pt idx="45">
                  <c:v>4.2</c:v>
                </c:pt>
                <c:pt idx="46">
                  <c:v>1.74</c:v>
                </c:pt>
                <c:pt idx="47">
                  <c:v>4.2</c:v>
                </c:pt>
                <c:pt idx="48">
                  <c:v>5.14</c:v>
                </c:pt>
                <c:pt idx="49">
                  <c:v>3.7</c:v>
                </c:pt>
                <c:pt idx="50">
                  <c:v>4.22</c:v>
                </c:pt>
                <c:pt idx="51">
                  <c:v>2.9</c:v>
                </c:pt>
                <c:pt idx="52">
                  <c:v>8.17</c:v>
                </c:pt>
                <c:pt idx="53">
                  <c:v>3.7</c:v>
                </c:pt>
                <c:pt idx="54">
                  <c:v>3.85</c:v>
                </c:pt>
                <c:pt idx="55">
                  <c:v>2.2999999999999998</c:v>
                </c:pt>
                <c:pt idx="56">
                  <c:v>0.67100000000000004</c:v>
                </c:pt>
                <c:pt idx="57">
                  <c:v>4.3</c:v>
                </c:pt>
                <c:pt idx="58">
                  <c:v>4.72</c:v>
                </c:pt>
                <c:pt idx="59">
                  <c:v>3.52</c:v>
                </c:pt>
                <c:pt idx="60">
                  <c:v>1.35</c:v>
                </c:pt>
                <c:pt idx="61">
                  <c:v>1.35</c:v>
                </c:pt>
                <c:pt idx="62">
                  <c:v>3.43</c:v>
                </c:pt>
                <c:pt idx="63">
                  <c:v>4</c:v>
                </c:pt>
                <c:pt idx="64">
                  <c:v>2.34</c:v>
                </c:pt>
                <c:pt idx="65">
                  <c:v>2</c:v>
                </c:pt>
                <c:pt idx="66">
                  <c:v>2.61</c:v>
                </c:pt>
                <c:pt idx="67">
                  <c:v>2.5</c:v>
                </c:pt>
                <c:pt idx="68">
                  <c:v>1.31</c:v>
                </c:pt>
                <c:pt idx="69">
                  <c:v>1.81</c:v>
                </c:pt>
                <c:pt idx="70">
                  <c:v>2.4</c:v>
                </c:pt>
                <c:pt idx="71">
                  <c:v>4</c:v>
                </c:pt>
                <c:pt idx="72">
                  <c:v>3.9</c:v>
                </c:pt>
                <c:pt idx="73">
                  <c:v>3.28</c:v>
                </c:pt>
                <c:pt idx="74">
                  <c:v>3.25</c:v>
                </c:pt>
                <c:pt idx="75">
                  <c:v>1.31</c:v>
                </c:pt>
                <c:pt idx="76">
                  <c:v>4.5</c:v>
                </c:pt>
                <c:pt idx="77">
                  <c:v>4.1399999999999997</c:v>
                </c:pt>
                <c:pt idx="78">
                  <c:v>2.4</c:v>
                </c:pt>
                <c:pt idx="79">
                  <c:v>3.96</c:v>
                </c:pt>
                <c:pt idx="80">
                  <c:v>3.87</c:v>
                </c:pt>
                <c:pt idx="81">
                  <c:v>3.49</c:v>
                </c:pt>
                <c:pt idx="82">
                  <c:v>5.5</c:v>
                </c:pt>
                <c:pt idx="83">
                  <c:v>4.42</c:v>
                </c:pt>
                <c:pt idx="84">
                  <c:v>3.86</c:v>
                </c:pt>
                <c:pt idx="85">
                  <c:v>3.37</c:v>
                </c:pt>
                <c:pt idx="86">
                  <c:v>3</c:v>
                </c:pt>
                <c:pt idx="87">
                  <c:v>5.04</c:v>
                </c:pt>
                <c:pt idx="88">
                  <c:v>3.25</c:v>
                </c:pt>
                <c:pt idx="89">
                  <c:v>4.33</c:v>
                </c:pt>
                <c:pt idx="90">
                  <c:v>3.5</c:v>
                </c:pt>
                <c:pt idx="91">
                  <c:v>3.42</c:v>
                </c:pt>
                <c:pt idx="92">
                  <c:v>3.2</c:v>
                </c:pt>
                <c:pt idx="93">
                  <c:v>3.8</c:v>
                </c:pt>
                <c:pt idx="94">
                  <c:v>4</c:v>
                </c:pt>
                <c:pt idx="95">
                  <c:v>2.92</c:v>
                </c:pt>
                <c:pt idx="96">
                  <c:v>2</c:v>
                </c:pt>
                <c:pt idx="97">
                  <c:v>0.33600000000000002</c:v>
                </c:pt>
                <c:pt idx="98">
                  <c:v>4.41</c:v>
                </c:pt>
                <c:pt idx="99">
                  <c:v>0.95</c:v>
                </c:pt>
                <c:pt idx="100">
                  <c:v>4</c:v>
                </c:pt>
                <c:pt idx="101">
                  <c:v>3.4</c:v>
                </c:pt>
                <c:pt idx="102">
                  <c:v>0.36299999999999999</c:v>
                </c:pt>
                <c:pt idx="103">
                  <c:v>0.28999999999999998</c:v>
                </c:pt>
                <c:pt idx="104">
                  <c:v>2</c:v>
                </c:pt>
                <c:pt idx="105">
                  <c:v>0.75</c:v>
                </c:pt>
                <c:pt idx="106">
                  <c:v>0.36</c:v>
                </c:pt>
                <c:pt idx="107">
                  <c:v>0.28999999999999998</c:v>
                </c:pt>
                <c:pt idx="108">
                  <c:v>0.85</c:v>
                </c:pt>
                <c:pt idx="109">
                  <c:v>4.0999999999999996</c:v>
                </c:pt>
                <c:pt idx="110">
                  <c:v>0.8</c:v>
                </c:pt>
                <c:pt idx="111">
                  <c:v>2.8</c:v>
                </c:pt>
                <c:pt idx="112">
                  <c:v>0.83</c:v>
                </c:pt>
                <c:pt idx="113">
                  <c:v>0.68</c:v>
                </c:pt>
                <c:pt idx="114">
                  <c:v>0.6</c:v>
                </c:pt>
                <c:pt idx="115">
                  <c:v>0.52</c:v>
                </c:pt>
                <c:pt idx="116">
                  <c:v>0.52</c:v>
                </c:pt>
                <c:pt idx="117">
                  <c:v>2.8</c:v>
                </c:pt>
                <c:pt idx="118">
                  <c:v>0.89900000000000002</c:v>
                </c:pt>
                <c:pt idx="119">
                  <c:v>0.83</c:v>
                </c:pt>
                <c:pt idx="120">
                  <c:v>0.8</c:v>
                </c:pt>
                <c:pt idx="121">
                  <c:v>1.5</c:v>
                </c:pt>
                <c:pt idx="122">
                  <c:v>0.79</c:v>
                </c:pt>
                <c:pt idx="123">
                  <c:v>0.56000000000000005</c:v>
                </c:pt>
                <c:pt idx="124">
                  <c:v>0.55000000000000004</c:v>
                </c:pt>
              </c:numCache>
            </c:numRef>
          </c:xVal>
          <c:yVal>
            <c:numRef>
              <c:f>'Scatter plot'!$B$2:$B$126</c:f>
              <c:numCache>
                <c:formatCode>General</c:formatCode>
                <c:ptCount val="125"/>
                <c:pt idx="0">
                  <c:v>1404</c:v>
                </c:pt>
                <c:pt idx="1">
                  <c:v>1309</c:v>
                </c:pt>
                <c:pt idx="2">
                  <c:v>956</c:v>
                </c:pt>
                <c:pt idx="3">
                  <c:v>799</c:v>
                </c:pt>
                <c:pt idx="4">
                  <c:v>695</c:v>
                </c:pt>
                <c:pt idx="5">
                  <c:v>589</c:v>
                </c:pt>
                <c:pt idx="6">
                  <c:v>567</c:v>
                </c:pt>
                <c:pt idx="7">
                  <c:v>549</c:v>
                </c:pt>
                <c:pt idx="8">
                  <c:v>549</c:v>
                </c:pt>
                <c:pt idx="9">
                  <c:v>549</c:v>
                </c:pt>
                <c:pt idx="10">
                  <c:v>549</c:v>
                </c:pt>
                <c:pt idx="11">
                  <c:v>499</c:v>
                </c:pt>
                <c:pt idx="12">
                  <c:v>465</c:v>
                </c:pt>
                <c:pt idx="13">
                  <c:v>450</c:v>
                </c:pt>
                <c:pt idx="14">
                  <c:v>417</c:v>
                </c:pt>
                <c:pt idx="15">
                  <c:v>400</c:v>
                </c:pt>
                <c:pt idx="16">
                  <c:v>399</c:v>
                </c:pt>
                <c:pt idx="17">
                  <c:v>398</c:v>
                </c:pt>
                <c:pt idx="18">
                  <c:v>395</c:v>
                </c:pt>
                <c:pt idx="19">
                  <c:v>388</c:v>
                </c:pt>
                <c:pt idx="20">
                  <c:v>380</c:v>
                </c:pt>
                <c:pt idx="21">
                  <c:v>369</c:v>
                </c:pt>
                <c:pt idx="22">
                  <c:v>329</c:v>
                </c:pt>
                <c:pt idx="23">
                  <c:v>300</c:v>
                </c:pt>
                <c:pt idx="24">
                  <c:v>300</c:v>
                </c:pt>
                <c:pt idx="25">
                  <c:v>300</c:v>
                </c:pt>
                <c:pt idx="26">
                  <c:v>300</c:v>
                </c:pt>
                <c:pt idx="27">
                  <c:v>299</c:v>
                </c:pt>
                <c:pt idx="28">
                  <c:v>290</c:v>
                </c:pt>
                <c:pt idx="29">
                  <c:v>275</c:v>
                </c:pt>
                <c:pt idx="30">
                  <c:v>273</c:v>
                </c:pt>
                <c:pt idx="31">
                  <c:v>270</c:v>
                </c:pt>
                <c:pt idx="32">
                  <c:v>262</c:v>
                </c:pt>
                <c:pt idx="33">
                  <c:v>259</c:v>
                </c:pt>
                <c:pt idx="34">
                  <c:v>232</c:v>
                </c:pt>
                <c:pt idx="35">
                  <c:v>217</c:v>
                </c:pt>
                <c:pt idx="36">
                  <c:v>210</c:v>
                </c:pt>
                <c:pt idx="37">
                  <c:v>208</c:v>
                </c:pt>
                <c:pt idx="38">
                  <c:v>199</c:v>
                </c:pt>
                <c:pt idx="39">
                  <c:v>198</c:v>
                </c:pt>
                <c:pt idx="40">
                  <c:v>198</c:v>
                </c:pt>
                <c:pt idx="41">
                  <c:v>195</c:v>
                </c:pt>
                <c:pt idx="42">
                  <c:v>190</c:v>
                </c:pt>
                <c:pt idx="43">
                  <c:v>190</c:v>
                </c:pt>
                <c:pt idx="44">
                  <c:v>190</c:v>
                </c:pt>
                <c:pt idx="45">
                  <c:v>180</c:v>
                </c:pt>
                <c:pt idx="46">
                  <c:v>180</c:v>
                </c:pt>
                <c:pt idx="47">
                  <c:v>173</c:v>
                </c:pt>
                <c:pt idx="48">
                  <c:v>170</c:v>
                </c:pt>
                <c:pt idx="49">
                  <c:v>169</c:v>
                </c:pt>
                <c:pt idx="50">
                  <c:v>165</c:v>
                </c:pt>
                <c:pt idx="51">
                  <c:v>153</c:v>
                </c:pt>
                <c:pt idx="52">
                  <c:v>151</c:v>
                </c:pt>
                <c:pt idx="53">
                  <c:v>143</c:v>
                </c:pt>
                <c:pt idx="54">
                  <c:v>140</c:v>
                </c:pt>
                <c:pt idx="55">
                  <c:v>140</c:v>
                </c:pt>
                <c:pt idx="56">
                  <c:v>140</c:v>
                </c:pt>
                <c:pt idx="57">
                  <c:v>137</c:v>
                </c:pt>
                <c:pt idx="58">
                  <c:v>130</c:v>
                </c:pt>
                <c:pt idx="59">
                  <c:v>130</c:v>
                </c:pt>
                <c:pt idx="60">
                  <c:v>130</c:v>
                </c:pt>
                <c:pt idx="61">
                  <c:v>130</c:v>
                </c:pt>
                <c:pt idx="62">
                  <c:v>129</c:v>
                </c:pt>
                <c:pt idx="63">
                  <c:v>128</c:v>
                </c:pt>
                <c:pt idx="64">
                  <c:v>128</c:v>
                </c:pt>
                <c:pt idx="65">
                  <c:v>125</c:v>
                </c:pt>
                <c:pt idx="66">
                  <c:v>115.71</c:v>
                </c:pt>
                <c:pt idx="67">
                  <c:v>115</c:v>
                </c:pt>
                <c:pt idx="68">
                  <c:v>115</c:v>
                </c:pt>
                <c:pt idx="69">
                  <c:v>109</c:v>
                </c:pt>
                <c:pt idx="70">
                  <c:v>105</c:v>
                </c:pt>
                <c:pt idx="71">
                  <c:v>100</c:v>
                </c:pt>
                <c:pt idx="72">
                  <c:v>100</c:v>
                </c:pt>
                <c:pt idx="73">
                  <c:v>100</c:v>
                </c:pt>
                <c:pt idx="74">
                  <c:v>100</c:v>
                </c:pt>
                <c:pt idx="75">
                  <c:v>100</c:v>
                </c:pt>
                <c:pt idx="76">
                  <c:v>99</c:v>
                </c:pt>
                <c:pt idx="77">
                  <c:v>95</c:v>
                </c:pt>
                <c:pt idx="78">
                  <c:v>95</c:v>
                </c:pt>
                <c:pt idx="79">
                  <c:v>94</c:v>
                </c:pt>
                <c:pt idx="80">
                  <c:v>93</c:v>
                </c:pt>
                <c:pt idx="81">
                  <c:v>92</c:v>
                </c:pt>
                <c:pt idx="82">
                  <c:v>90</c:v>
                </c:pt>
                <c:pt idx="83">
                  <c:v>90</c:v>
                </c:pt>
                <c:pt idx="84">
                  <c:v>90</c:v>
                </c:pt>
                <c:pt idx="85">
                  <c:v>90</c:v>
                </c:pt>
                <c:pt idx="86">
                  <c:v>90</c:v>
                </c:pt>
                <c:pt idx="87">
                  <c:v>89</c:v>
                </c:pt>
                <c:pt idx="88">
                  <c:v>89</c:v>
                </c:pt>
                <c:pt idx="89">
                  <c:v>88</c:v>
                </c:pt>
                <c:pt idx="90">
                  <c:v>87</c:v>
                </c:pt>
                <c:pt idx="91">
                  <c:v>86</c:v>
                </c:pt>
                <c:pt idx="92">
                  <c:v>86</c:v>
                </c:pt>
                <c:pt idx="93">
                  <c:v>85</c:v>
                </c:pt>
                <c:pt idx="94">
                  <c:v>80</c:v>
                </c:pt>
                <c:pt idx="95">
                  <c:v>80</c:v>
                </c:pt>
                <c:pt idx="96">
                  <c:v>80</c:v>
                </c:pt>
                <c:pt idx="97">
                  <c:v>80</c:v>
                </c:pt>
                <c:pt idx="98">
                  <c:v>77</c:v>
                </c:pt>
                <c:pt idx="99">
                  <c:v>66</c:v>
                </c:pt>
                <c:pt idx="100">
                  <c:v>60</c:v>
                </c:pt>
                <c:pt idx="101">
                  <c:v>60</c:v>
                </c:pt>
                <c:pt idx="102">
                  <c:v>55</c:v>
                </c:pt>
                <c:pt idx="103">
                  <c:v>55</c:v>
                </c:pt>
                <c:pt idx="104">
                  <c:v>51</c:v>
                </c:pt>
                <c:pt idx="105">
                  <c:v>50</c:v>
                </c:pt>
                <c:pt idx="106">
                  <c:v>50</c:v>
                </c:pt>
                <c:pt idx="107">
                  <c:v>50</c:v>
                </c:pt>
                <c:pt idx="108">
                  <c:v>46</c:v>
                </c:pt>
                <c:pt idx="109">
                  <c:v>44</c:v>
                </c:pt>
                <c:pt idx="110">
                  <c:v>41</c:v>
                </c:pt>
                <c:pt idx="111">
                  <c:v>40</c:v>
                </c:pt>
                <c:pt idx="112">
                  <c:v>40</c:v>
                </c:pt>
                <c:pt idx="113">
                  <c:v>40</c:v>
                </c:pt>
                <c:pt idx="114">
                  <c:v>40</c:v>
                </c:pt>
                <c:pt idx="115">
                  <c:v>40</c:v>
                </c:pt>
                <c:pt idx="116">
                  <c:v>40</c:v>
                </c:pt>
                <c:pt idx="117">
                  <c:v>39</c:v>
                </c:pt>
                <c:pt idx="118">
                  <c:v>38</c:v>
                </c:pt>
                <c:pt idx="119">
                  <c:v>38</c:v>
                </c:pt>
                <c:pt idx="120">
                  <c:v>37</c:v>
                </c:pt>
                <c:pt idx="121">
                  <c:v>30</c:v>
                </c:pt>
                <c:pt idx="122">
                  <c:v>22</c:v>
                </c:pt>
                <c:pt idx="123">
                  <c:v>15</c:v>
                </c:pt>
                <c:pt idx="124">
                  <c:v>13</c:v>
                </c:pt>
              </c:numCache>
            </c:numRef>
          </c:yVal>
          <c:smooth val="0"/>
          <c:extLst>
            <c:ext xmlns:c16="http://schemas.microsoft.com/office/drawing/2014/chart" uri="{C3380CC4-5D6E-409C-BE32-E72D297353CC}">
              <c16:uniqueId val="{00000000-199A-5546-9087-8CF963F703EC}"/>
            </c:ext>
          </c:extLst>
        </c:ser>
        <c:dLbls>
          <c:showLegendKey val="0"/>
          <c:showVal val="0"/>
          <c:showCatName val="0"/>
          <c:showSerName val="0"/>
          <c:showPercent val="0"/>
          <c:showBubbleSize val="0"/>
        </c:dLbls>
        <c:axId val="2035306287"/>
        <c:axId val="2123553935"/>
      </c:scatterChart>
      <c:valAx>
        <c:axId val="2035306287"/>
        <c:scaling>
          <c:orientation val="minMax"/>
          <c:max val="17"/>
          <c:min val="0"/>
        </c:scaling>
        <c:delete val="0"/>
        <c:axPos val="b"/>
        <c:majorGridlines>
          <c:spPr>
            <a:ln w="9525" cap="flat" cmpd="sng" algn="ctr">
              <a:solidFill>
                <a:schemeClr val="bg2"/>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tx1"/>
                    </a:solidFill>
                  </a:rPr>
                  <a:t> Weight</a:t>
                </a:r>
                <a:r>
                  <a:rPr lang="en-GB" baseline="0">
                    <a:solidFill>
                      <a:schemeClr val="tx1"/>
                    </a:solidFill>
                  </a:rPr>
                  <a:t> (KG)</a:t>
                </a:r>
                <a:endParaRPr lang="en-GB">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3553935"/>
        <c:crosses val="autoZero"/>
        <c:crossBetween val="midCat"/>
      </c:valAx>
      <c:valAx>
        <c:axId val="2123553935"/>
        <c:scaling>
          <c:orientation val="minMax"/>
          <c:max val="1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tx1"/>
                    </a:solidFill>
                  </a:rPr>
                  <a:t>Price</a:t>
                </a:r>
                <a:r>
                  <a:rPr lang="en-GB" baseline="0">
                    <a:solidFill>
                      <a:schemeClr val="tx1"/>
                    </a:solidFill>
                  </a:rPr>
                  <a:t> (£)</a:t>
                </a:r>
                <a:endParaRPr lang="en-GB">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5306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177800</xdr:colOff>
      <xdr:row>16</xdr:row>
      <xdr:rowOff>114300</xdr:rowOff>
    </xdr:from>
    <xdr:to>
      <xdr:col>10</xdr:col>
      <xdr:colOff>622300</xdr:colOff>
      <xdr:row>31</xdr:row>
      <xdr:rowOff>0</xdr:rowOff>
    </xdr:to>
    <xdr:graphicFrame macro="">
      <xdr:nvGraphicFramePr>
        <xdr:cNvPr id="6" name="Chart 5">
          <a:extLst>
            <a:ext uri="{FF2B5EF4-FFF2-40B4-BE49-F238E27FC236}">
              <a16:creationId xmlns:a16="http://schemas.microsoft.com/office/drawing/2014/main" id="{63EEC6FC-CC55-7AF4-82E5-249C2820E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6.618272685184" createdVersion="8" refreshedVersion="8" minRefreshableVersion="3" recordCount="183" xr:uid="{94A359F2-B5BF-1047-8495-267523D7AAA4}">
  <cacheSource type="worksheet">
    <worksheetSource name="AutomationFilter"/>
  </cacheSource>
  <cacheFields count="11">
    <cacheField name="ASIN" numFmtId="0">
      <sharedItems/>
    </cacheField>
    <cacheField name="Number of reviews" numFmtId="0">
      <sharedItems containsSemiMixedTypes="0" containsString="0" containsNumber="1" containsInteger="1" minValue="0" maxValue="44345" count="124">
        <n v="20614"/>
        <n v="69"/>
        <n v="12"/>
        <n v="74"/>
        <n v="129"/>
        <n v="16"/>
        <n v="658"/>
        <n v="230"/>
        <n v="1"/>
        <n v="378"/>
        <n v="7"/>
        <n v="3"/>
        <n v="75"/>
        <n v="50"/>
        <n v="32"/>
        <n v="2165"/>
        <n v="2373"/>
        <n v="957"/>
        <n v="63"/>
        <n v="513"/>
        <n v="826"/>
        <n v="13422"/>
        <n v="202"/>
        <n v="103"/>
        <n v="29"/>
        <n v="1589"/>
        <n v="380"/>
        <n v="34"/>
        <n v="9"/>
        <n v="5"/>
        <n v="387"/>
        <n v="347"/>
        <n v="1013"/>
        <n v="1314"/>
        <n v="40369"/>
        <n v="14"/>
        <n v="13033"/>
        <n v="30"/>
        <n v="5337"/>
        <n v="670"/>
        <n v="3492"/>
        <n v="2"/>
        <n v="215"/>
        <n v="78"/>
        <n v="488"/>
        <n v="214"/>
        <n v="38"/>
        <n v="13"/>
        <n v="4732"/>
        <n v="104"/>
        <n v="1057"/>
        <n v="56"/>
        <n v="79"/>
        <n v="46"/>
        <n v="227"/>
        <n v="386"/>
        <n v="932"/>
        <n v="80"/>
        <n v="6310"/>
        <n v="64"/>
        <n v="8"/>
        <n v="0"/>
        <n v="6"/>
        <n v="44"/>
        <n v="10"/>
        <n v="237"/>
        <n v="124"/>
        <n v="184"/>
        <n v="272"/>
        <n v="106"/>
        <n v="172"/>
        <n v="447"/>
        <n v="39"/>
        <n v="2823"/>
        <n v="350"/>
        <n v="43"/>
        <n v="61"/>
        <n v="4137"/>
        <n v="1457"/>
        <n v="693"/>
        <n v="20123"/>
        <n v="115"/>
        <n v="87"/>
        <n v="133"/>
        <n v="114"/>
        <n v="1661"/>
        <n v="756"/>
        <n v="19"/>
        <n v="4"/>
        <n v="84"/>
        <n v="9663"/>
        <n v="44345"/>
        <n v="5570"/>
        <n v="2214"/>
        <n v="67"/>
        <n v="370"/>
        <n v="51"/>
        <n v="20"/>
        <n v="4956"/>
        <n v="73"/>
        <n v="250"/>
        <n v="141"/>
        <n v="311"/>
        <n v="2482"/>
        <n v="21"/>
        <n v="2538"/>
        <n v="71"/>
        <n v="117"/>
        <n v="260"/>
        <n v="990"/>
        <n v="1678"/>
        <n v="1353"/>
        <n v="1121"/>
        <n v="719"/>
        <n v="391"/>
        <n v="149"/>
        <n v="3396"/>
        <n v="1470"/>
        <n v="5694"/>
        <n v="2615"/>
        <n v="5180"/>
        <n v="583"/>
        <n v="1200"/>
        <n v="1914"/>
      </sharedItems>
    </cacheField>
    <cacheField name="Brand" numFmtId="0">
      <sharedItems count="100">
        <s v="AeroPress"/>
        <s v="Aigostar"/>
        <s v="AMPUTEE"/>
        <s v="AMZCHEF"/>
        <s v="Aptliton"/>
        <s v="Ariete"/>
        <s v="Bekasa"/>
        <s v="Beko"/>
        <s v="BELLA·BAYS"/>
        <s v="BENFUCHEN"/>
        <s v="Bialetti"/>
        <s v="Breville"/>
        <s v="CAPXSNOB"/>
        <s v="CASABREWS"/>
        <s v="Cecotec"/>
        <s v="CERA+"/>
        <s v="Chefman"/>
        <s v="CIARRA"/>
        <s v="CONQUECO"/>
        <s v="Cooks Professional"/>
        <s v="COSTWAY"/>
        <s v="COTGCO"/>
        <s v="CUSIMAX"/>
        <s v="De'Longhi"/>
        <s v="Nespresso"/>
        <s v="Delousiber"/>
        <s v="Didiesse"/>
        <s v="Diguo"/>
        <s v="Dualit"/>
        <s v="Easyworkz"/>
        <s v="EspressoWorks"/>
        <s v="EVERANGE"/>
        <s v="FRESH VITALITY"/>
        <s v="Gaggia"/>
        <s v="GEEPAS"/>
        <s v="Generic"/>
        <s v="Godmorn"/>
        <s v="GRIFEMA"/>
        <s v="Gubbett"/>
        <s v="HAILASRE"/>
        <s v="Hamilton Beach"/>
        <s v="HIBREW"/>
        <s v="HOMCOM"/>
        <s v="i Cafilas"/>
        <s v="IKAPE"/>
        <s v="JORPETS"/>
        <s v="Kaiser"/>
        <s v="KARACA"/>
        <s v="KEEPLUCK"/>
        <s v="Keurig"/>
        <s v="KitchenAid"/>
        <s v="KLARSTEIN"/>
        <s v="KOTLIE"/>
        <s v="KRUPS"/>
        <s v="Kssiaz"/>
        <s v="La Pavoni"/>
        <s v="lakeland"/>
        <s v="Lavazza"/>
        <s v="Maestri House"/>
        <s v="Melitta"/>
        <s v="MEMOEVER"/>
        <s v="Mineup"/>
        <s v="MisterChef"/>
        <s v="MoraRise"/>
        <s v="Morphy Richards"/>
        <s v="NGT"/>
        <s v="Ninja"/>
        <s v="Nsyee"/>
        <s v="obecilc"/>
        <s v="olkezz"/>
        <s v="OutIn"/>
        <s v="PHENOHERE"/>
        <s v="Philips"/>
        <s v="Polti"/>
        <s v="Quest"/>
        <s v="RECAFIMIL"/>
        <s v="Russell Hobbs"/>
        <s v="Rymic"/>
        <s v="Sage"/>
        <s v="Salter"/>
        <s v="Sjöstrand Coffee Concept"/>
        <s v="Smeg"/>
        <s v="Spector"/>
        <s v="SUMSATY"/>
        <s v="SUPERLEX"/>
        <s v="Swan"/>
        <s v="Tassimo"/>
        <s v="Tjean"/>
        <s v="Trendi"/>
        <s v="TWOMEOW"/>
        <s v="Umisu"/>
        <s v="VonShef"/>
        <s v="WACACO"/>
        <s v="wirsh"/>
        <s v="XIAOMI"/>
        <s v="Yabano"/>
        <s v="Yospinber"/>
        <s v="Cuisinart" u="1"/>
        <s v="Fellow" u="1"/>
        <s v="kejector" u="1"/>
      </sharedItems>
    </cacheField>
    <cacheField name="Price (£)" numFmtId="0">
      <sharedItems containsSemiMixedTypes="0" containsString="0" containsNumber="1" minValue="13" maxValue="1548"/>
    </cacheField>
    <cacheField name="Capacity (litres)" numFmtId="2">
      <sharedItems containsString="0" containsBlank="1" containsNumber="1" minValue="0.06" maxValue="5"/>
    </cacheField>
    <cacheField name="Weight (KG)" numFmtId="0">
      <sharedItems containsString="0" containsBlank="1" containsNumber="1" minValue="0.26" maxValue="16.3"/>
    </cacheField>
    <cacheField name="Reviews (Out of 5)" numFmtId="0">
      <sharedItems containsString="0" containsBlank="1" containsNumber="1" minValue="1" maxValue="5" count="25">
        <n v="4.7"/>
        <n v="4"/>
        <n v="4.4000000000000004"/>
        <n v="4.3"/>
        <n v="4.8"/>
        <n v="3.6"/>
        <n v="3.5"/>
        <n v="5"/>
        <n v="4.2"/>
        <n v="3.9"/>
        <n v="3.1"/>
        <n v="4.0999999999999996"/>
        <n v="4.5"/>
        <n v="3.7"/>
        <n v="4.5999999999999996"/>
        <n v="3.8"/>
        <n v="3.4"/>
        <n v="1.6"/>
        <m/>
        <n v="3.2"/>
        <n v="3.3"/>
        <n v="1.5"/>
        <n v="2"/>
        <n v="2.2999999999999998"/>
        <n v="1"/>
      </sharedItems>
    </cacheField>
    <cacheField name="Milk Frother" numFmtId="0">
      <sharedItems containsSemiMixedTypes="0" containsString="0" containsNumber="1" containsInteger="1" minValue="0" maxValue="1"/>
    </cacheField>
    <cacheField name="Grinder" numFmtId="0">
      <sharedItems containsSemiMixedTypes="0" containsString="0" containsNumber="1" containsInteger="1" minValue="0" maxValue="1"/>
    </cacheField>
    <cacheField name="Manual" numFmtId="0">
      <sharedItems containsSemiMixedTypes="0" containsString="0" containsNumber="1" containsInteger="1" minValue="0" maxValue="1"/>
    </cacheField>
    <cacheField name="Special featur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s v="B000GXZ2GS"/>
    <x v="0"/>
    <x v="0"/>
    <n v="34"/>
    <n v="0.29574"/>
    <m/>
    <x v="0"/>
    <n v="0"/>
    <n v="0"/>
    <n v="1"/>
    <s v="Auto Clean, Manual, Portable"/>
  </r>
  <r>
    <s v="B0D1FXXRM6"/>
    <x v="1"/>
    <x v="1"/>
    <n v="114"/>
    <n v="0.9"/>
    <m/>
    <x v="1"/>
    <n v="1"/>
    <n v="0"/>
    <n v="0"/>
    <s v="Capsule Coffee Function, Cup Warmer, Milk Frother, Removable Tank, Single Cup Brew"/>
  </r>
  <r>
    <s v="B0FLPYZW2J"/>
    <x v="2"/>
    <x v="2"/>
    <n v="37"/>
    <n v="0.08"/>
    <m/>
    <x v="2"/>
    <n v="0"/>
    <n v="0"/>
    <n v="0"/>
    <s v="Self-heating, Automatic Extraction, 20 Bar Pressure, Portable"/>
  </r>
  <r>
    <s v="B0F93924JJ"/>
    <x v="3"/>
    <x v="3"/>
    <n v="100"/>
    <m/>
    <n v="1.31"/>
    <x v="3"/>
    <n v="0"/>
    <n v="0"/>
    <n v="0"/>
    <s v="200s Flash Heating &amp; 20Bar Pro Extraction, 9000mAh Ultra-Endurance Power System, Cup-Mounted Hands-Free Liberation, Dual-Mode Barista Engine, Smart-Brew Tactile Interface200s Flash Heating &amp; 20Bar Pro Extraction"/>
  </r>
  <r>
    <s v="B0FCMGMDPC"/>
    <x v="4"/>
    <x v="3"/>
    <n v="100"/>
    <n v="1.5"/>
    <m/>
    <x v="2"/>
    <n v="1"/>
    <n v="0"/>
    <n v="0"/>
    <s v="1350W Heating System, 20 Bar Italian Professional Pump, Compact and Stylish, Fixed Mode &amp; DIY Mode, Powerful Milk Frothing System1350W Heating System, 20 Bar Italian Professional Pump"/>
  </r>
  <r>
    <s v="B0FLK1N2W9"/>
    <x v="5"/>
    <x v="4"/>
    <n v="130"/>
    <n v="1.4"/>
    <n v="4.72"/>
    <x v="4"/>
    <n v="1"/>
    <n v="0"/>
    <n v="0"/>
    <s v="One-Touch Operation, Guided Timers, Adjustable Steam Wand"/>
  </r>
  <r>
    <s v="B009F5WRUC"/>
    <x v="6"/>
    <x v="5"/>
    <n v="115"/>
    <n v="0.47314880529926656"/>
    <n v="1.31"/>
    <x v="5"/>
    <n v="1"/>
    <n v="0"/>
    <n v="0"/>
    <s v="Milk Frother, Removable Tank"/>
  </r>
  <r>
    <s v="B07X5D9NPZ"/>
    <x v="7"/>
    <x v="5"/>
    <n v="262"/>
    <n v="2"/>
    <n v="7.63"/>
    <x v="6"/>
    <n v="0"/>
    <n v="1"/>
    <n v="0"/>
    <s v="Integrated Coffee Grinder, Jug"/>
  </r>
  <r>
    <s v="B0FWRJ9SQD"/>
    <x v="8"/>
    <x v="6"/>
    <n v="38"/>
    <m/>
    <n v="0.83"/>
    <x v="7"/>
    <n v="0"/>
    <n v="0"/>
    <n v="0"/>
    <s v="Portable"/>
  </r>
  <r>
    <s v="B0CJFV13GJ"/>
    <x v="9"/>
    <x v="7"/>
    <n v="120"/>
    <n v="1.1000000000000001"/>
    <m/>
    <x v="1"/>
    <n v="1"/>
    <n v="0"/>
    <n v="0"/>
    <s v="Milk Frother"/>
  </r>
  <r>
    <s v="B0FX42TWT6"/>
    <x v="10"/>
    <x v="8"/>
    <n v="40"/>
    <n v="0.23657440264963328"/>
    <m/>
    <x v="8"/>
    <n v="0"/>
    <n v="0"/>
    <n v="0"/>
    <s v="Display, Electric, Heated, Portable, Rechargeable"/>
  </r>
  <r>
    <s v="B0G2RVRYH2"/>
    <x v="11"/>
    <x v="9"/>
    <n v="46"/>
    <n v="0.23"/>
    <n v="0.85"/>
    <x v="7"/>
    <n v="0"/>
    <n v="0"/>
    <n v="0"/>
    <s v="Portable Electric Espresso Machine - 3 IN 1 PORTABLE ESPRESSO COFFEE MAKER"/>
  </r>
  <r>
    <s v="B0D3H4NRMS"/>
    <x v="12"/>
    <x v="9"/>
    <n v="66"/>
    <n v="0.08"/>
    <n v="0.95"/>
    <x v="9"/>
    <n v="0"/>
    <n v="0"/>
    <n v="0"/>
    <s v="Portable"/>
  </r>
  <r>
    <s v="B0DPZZ9S4Z"/>
    <x v="13"/>
    <x v="9"/>
    <n v="92"/>
    <n v="0.8"/>
    <n v="3.49"/>
    <x v="10"/>
    <n v="0"/>
    <n v="0"/>
    <n v="0"/>
    <s v="Auto Shut-Off"/>
  </r>
  <r>
    <s v="B0DPG56M2K"/>
    <x v="14"/>
    <x v="10"/>
    <n v="75"/>
    <n v="5"/>
    <m/>
    <x v="8"/>
    <n v="0"/>
    <n v="0"/>
    <n v="0"/>
    <s v="Temperature Control, Adjustable Brew Strength"/>
  </r>
  <r>
    <s v="B0B1JPPG2L"/>
    <x v="15"/>
    <x v="11"/>
    <n v="567"/>
    <n v="1.3354169626367383"/>
    <n v="4.9400000000000004"/>
    <x v="8"/>
    <n v="1"/>
    <n v="0"/>
    <n v="0"/>
    <s v="Automatic Milk Frother"/>
  </r>
  <r>
    <s v="B07JVD78TT"/>
    <x v="16"/>
    <x v="11"/>
    <n v="695"/>
    <m/>
    <n v="4.99"/>
    <x v="11"/>
    <n v="0"/>
    <n v="0"/>
    <n v="1"/>
    <s v="Manual"/>
  </r>
  <r>
    <s v="B0BBYNPV33"/>
    <x v="17"/>
    <x v="11"/>
    <n v="1404"/>
    <n v="2"/>
    <n v="10.75"/>
    <x v="2"/>
    <n v="0"/>
    <n v="0"/>
    <n v="1"/>
    <s v="Manual"/>
  </r>
  <r>
    <s v="B0FLY6FSNW"/>
    <x v="18"/>
    <x v="12"/>
    <n v="150"/>
    <n v="0.6"/>
    <m/>
    <x v="8"/>
    <n v="0"/>
    <n v="0"/>
    <n v="0"/>
    <s v="Adjustable Brew Strength, Auto Shut-Off, Portable, Removable Tank, Single Cup Brew"/>
  </r>
  <r>
    <s v="B0C1BKD3RF"/>
    <x v="19"/>
    <x v="13"/>
    <n v="111"/>
    <n v="1.3"/>
    <m/>
    <x v="8"/>
    <n v="1"/>
    <n v="0"/>
    <n v="1"/>
    <s v="20-Bar Professional Pump, 1350W Powerful Thermoblock heating system, 1.3L Large Removable Water Tank, Powerful Manual Steam Wand for Latte Art, Compact Stainless Steel Design, Removable Drip Tray for Large Cups, Single &amp; Double Shot Filters included"/>
  </r>
  <r>
    <s v="B0CC4NVW32"/>
    <x v="20"/>
    <x v="13"/>
    <n v="130"/>
    <n v="1"/>
    <m/>
    <x v="3"/>
    <n v="1"/>
    <n v="0"/>
    <n v="0"/>
    <s v="PID Intelligent Temperature Control, Fast Heating Thermoblock System, Pressure Gauge, 20 Bar Italian Pump, Milk Frother Steam Wand, Compact Design, Removable Water Tank"/>
  </r>
  <r>
    <s v="B0763N7WMP"/>
    <x v="21"/>
    <x v="14"/>
    <n v="130"/>
    <n v="1.5"/>
    <n v="1.35"/>
    <x v="11"/>
    <n v="1"/>
    <n v="0"/>
    <n v="0"/>
    <s v="Steam Wand, Fully Automatic"/>
  </r>
  <r>
    <s v="B0FHPS5LXC"/>
    <x v="22"/>
    <x v="15"/>
    <n v="130"/>
    <n v="0.08"/>
    <m/>
    <x v="2"/>
    <n v="0"/>
    <n v="0"/>
    <n v="0"/>
    <s v="Lightweight"/>
  </r>
  <r>
    <s v="B0FX33V398"/>
    <x v="23"/>
    <x v="16"/>
    <n v="88"/>
    <n v="1.5"/>
    <n v="4.33"/>
    <x v="3"/>
    <n v="1"/>
    <n v="0"/>
    <n v="0"/>
    <s v="Milk Frother, Programmable, 15-Bar Pump"/>
  </r>
  <r>
    <s v="B0FNRGP397"/>
    <x v="24"/>
    <x v="17"/>
    <n v="80"/>
    <n v="0.18"/>
    <m/>
    <x v="1"/>
    <n v="0"/>
    <n v="0"/>
    <n v="0"/>
    <s v="Single Cup Brew"/>
  </r>
  <r>
    <s v="B0F6MZZ2QL"/>
    <x v="14"/>
    <x v="18"/>
    <n v="130"/>
    <n v="0.08"/>
    <n v="1.35"/>
    <x v="12"/>
    <n v="0"/>
    <n v="0"/>
    <n v="0"/>
    <s v="Auto Shut-Off, Portable, Single Cup Brew"/>
  </r>
  <r>
    <s v="B0CYSJXZWK"/>
    <x v="25"/>
    <x v="18"/>
    <n v="100"/>
    <n v="0.08"/>
    <m/>
    <x v="8"/>
    <n v="0"/>
    <n v="0"/>
    <n v="0"/>
    <s v="Auto Clean Function"/>
  </r>
  <r>
    <s v="B084D37PHF"/>
    <x v="26"/>
    <x v="19"/>
    <n v="90"/>
    <n v="1.2"/>
    <n v="3.37"/>
    <x v="1"/>
    <n v="1"/>
    <n v="0"/>
    <n v="0"/>
    <s v="Steam Wand"/>
  </r>
  <r>
    <s v="B0FX4TC1H6"/>
    <x v="27"/>
    <x v="19"/>
    <n v="130"/>
    <n v="1"/>
    <n v="3.52"/>
    <x v="13"/>
    <n v="1"/>
    <n v="0"/>
    <n v="0"/>
    <s v="Milk Frother"/>
  </r>
  <r>
    <s v="B0FZLXWPTQ"/>
    <x v="28"/>
    <x v="19"/>
    <n v="380"/>
    <n v="2.6"/>
    <m/>
    <x v="4"/>
    <n v="1"/>
    <n v="1"/>
    <n v="1"/>
    <s v="Integrated Coffee Grinder, Manual Milk Frother, Professional Portafilter"/>
  </r>
  <r>
    <s v="B0FYFT5FF9"/>
    <x v="29"/>
    <x v="20"/>
    <n v="90"/>
    <n v="1.8"/>
    <n v="3"/>
    <x v="6"/>
    <n v="1"/>
    <n v="0"/>
    <n v="0"/>
    <s v="Milk Frother"/>
  </r>
  <r>
    <s v="B0CZ7WSH1N"/>
    <x v="30"/>
    <x v="21"/>
    <n v="100"/>
    <n v="0.08"/>
    <m/>
    <x v="1"/>
    <n v="0"/>
    <n v="0"/>
    <n v="0"/>
    <s v="Auto Shut-Off, Portable, Rechargeable"/>
  </r>
  <r>
    <s v="B0DHZS8DLB"/>
    <x v="31"/>
    <x v="21"/>
    <n v="110"/>
    <n v="0.08"/>
    <m/>
    <x v="11"/>
    <n v="0"/>
    <n v="0"/>
    <n v="0"/>
    <s v="Lightweight, Portable"/>
  </r>
  <r>
    <s v="B0FCF8FLJS"/>
    <x v="28"/>
    <x v="22"/>
    <n v="100"/>
    <n v="0.8"/>
    <n v="3.9"/>
    <x v="9"/>
    <n v="0"/>
    <n v="0"/>
    <n v="0"/>
    <s v="3 Coffee Programmes, Adjustable Brew Strength, Auto Shut-Off, Lightweight and Portable, Removable Tank3 Coffee Programmes, Adjustable Brew Strength, Auto Shut-Off"/>
  </r>
  <r>
    <s v="B08KZZJ94V"/>
    <x v="32"/>
    <x v="23"/>
    <n v="125"/>
    <n v="0.8"/>
    <n v="2"/>
    <x v="2"/>
    <n v="0"/>
    <n v="0"/>
    <n v="0"/>
    <s v="Espresso Boost"/>
  </r>
  <r>
    <s v="B00TDKM2XG"/>
    <x v="33"/>
    <x v="23"/>
    <n v="210"/>
    <n v="1.4"/>
    <n v="4.0999999999999996"/>
    <x v="1"/>
    <n v="0"/>
    <n v="0"/>
    <n v="0"/>
    <s v="Removable drip tray and Anti-drip system"/>
  </r>
  <r>
    <s v="B06X3Z9MF3"/>
    <x v="34"/>
    <x v="23"/>
    <n v="180"/>
    <n v="1"/>
    <n v="4.2"/>
    <x v="8"/>
    <n v="0"/>
    <n v="0"/>
    <n v="0"/>
    <s v="Auto Shut-Off"/>
  </r>
  <r>
    <s v="B0CQP1H826"/>
    <x v="35"/>
    <x v="23"/>
    <n v="217"/>
    <m/>
    <n v="4.2"/>
    <x v="0"/>
    <n v="0"/>
    <n v="0"/>
    <n v="0"/>
    <s v="15-bar pressure, My Latte Art, Fast heat-up"/>
  </r>
  <r>
    <s v="B06WGTZ874"/>
    <x v="34"/>
    <x v="23"/>
    <n v="165"/>
    <n v="1"/>
    <n v="4.22"/>
    <x v="8"/>
    <n v="1"/>
    <n v="0"/>
    <n v="0"/>
    <s v="Milk Frother"/>
  </r>
  <r>
    <s v="B08C96BG9H"/>
    <x v="36"/>
    <x v="23"/>
    <n v="137"/>
    <n v="1"/>
    <n v="4.3"/>
    <x v="8"/>
    <n v="1"/>
    <n v="0"/>
    <n v="0"/>
    <s v="Milk Frother"/>
  </r>
  <r>
    <s v="B0DWFVBL9V"/>
    <x v="37"/>
    <x v="23"/>
    <n v="299"/>
    <n v="1"/>
    <n v="4.37"/>
    <x v="13"/>
    <n v="1"/>
    <n v="0"/>
    <n v="0"/>
    <s v="Milk Frother"/>
  </r>
  <r>
    <s v="B01MTZ419O"/>
    <x v="38"/>
    <x v="23"/>
    <n v="195"/>
    <n v="1.1592555760761472"/>
    <n v="4.4000000000000004"/>
    <x v="14"/>
    <n v="1"/>
    <n v="0"/>
    <n v="0"/>
    <s v="Milk Frother, Centrifusion Technology"/>
  </r>
  <r>
    <s v="B072X1M76L"/>
    <x v="39"/>
    <x v="24"/>
    <n v="232"/>
    <n v="1.597"/>
    <n v="4.97"/>
    <x v="8"/>
    <n v="0"/>
    <n v="0"/>
    <n v="0"/>
    <s v="Adjustable Brew Strength, Auto Shut-Off"/>
  </r>
  <r>
    <s v="B09RR1151V"/>
    <x v="40"/>
    <x v="23"/>
    <n v="89"/>
    <n v="1"/>
    <n v="5.04"/>
    <x v="3"/>
    <n v="1"/>
    <n v="0"/>
    <n v="0"/>
    <s v="Milk Frother"/>
  </r>
  <r>
    <s v="B09VLBFYQK"/>
    <x v="41"/>
    <x v="23"/>
    <n v="417"/>
    <n v="1.8"/>
    <n v="9.4"/>
    <x v="7"/>
    <n v="1"/>
    <n v="0"/>
    <n v="0"/>
    <s v="Milk Frother"/>
  </r>
  <r>
    <s v="B08KWJVWSW"/>
    <x v="42"/>
    <x v="23"/>
    <n v="799"/>
    <n v="2.2000000000000002"/>
    <n v="13"/>
    <x v="8"/>
    <n v="0"/>
    <n v="0"/>
    <n v="0"/>
    <s v="Removable Tank"/>
  </r>
  <r>
    <s v="B07PP9LJ5M"/>
    <x v="43"/>
    <x v="23"/>
    <n v="305"/>
    <n v="0.47314880529926656"/>
    <m/>
    <x v="12"/>
    <n v="0"/>
    <n v="0"/>
    <n v="0"/>
    <s v="Descaler"/>
  </r>
  <r>
    <s v="B08DGPKTNX"/>
    <x v="28"/>
    <x v="23"/>
    <n v="210"/>
    <n v="1"/>
    <m/>
    <x v="12"/>
    <n v="1"/>
    <n v="0"/>
    <n v="0"/>
    <s v="Milk Frother"/>
  </r>
  <r>
    <s v="B0FR9KYZDH"/>
    <x v="41"/>
    <x v="25"/>
    <n v="85"/>
    <n v="1.656020818547433"/>
    <m/>
    <x v="12"/>
    <n v="0"/>
    <n v="0"/>
    <n v="0"/>
    <s v="Portable"/>
  </r>
  <r>
    <s v="B07B35Z37S"/>
    <x v="44"/>
    <x v="26"/>
    <n v="146"/>
    <n v="0.23657440264963328"/>
    <m/>
    <x v="3"/>
    <n v="0"/>
    <n v="0"/>
    <n v="0"/>
    <s v="Thermal"/>
  </r>
  <r>
    <s v="B011E98I22"/>
    <x v="45"/>
    <x v="27"/>
    <n v="115.71"/>
    <n v="0.5"/>
    <n v="2.61"/>
    <x v="2"/>
    <n v="0"/>
    <n v="0"/>
    <n v="0"/>
    <s v="Thermal"/>
  </r>
  <r>
    <s v="B0CGHXDM1M"/>
    <x v="46"/>
    <x v="28"/>
    <n v="129"/>
    <n v="0.8"/>
    <n v="3.43"/>
    <x v="5"/>
    <n v="0"/>
    <n v="0"/>
    <n v="0"/>
    <s v="Removable Tank"/>
  </r>
  <r>
    <s v="B0DQYRZP89"/>
    <x v="47"/>
    <x v="28"/>
    <n v="549"/>
    <n v="2.8"/>
    <m/>
    <x v="14"/>
    <n v="0"/>
    <n v="1"/>
    <n v="0"/>
    <s v="Integrated Coffee Grinder, Customizable Grind Settings, Intelligent Operation, Dedicated Descale FunctionIntegrated Coffee Grinder, Customizable Grind Settings"/>
  </r>
  <r>
    <s v="B09XK7JHSK"/>
    <x v="48"/>
    <x v="29"/>
    <n v="65"/>
    <n v="0.52"/>
    <m/>
    <x v="8"/>
    <n v="0"/>
    <n v="0"/>
    <n v="1"/>
    <s v="Dishwasher Safe, Electric Stovetop Compatible, Gas Stovetop Compatible, Induction Stovetop Compatible, ManualDishwasher Safe, Electric Stovetop Compatible, Gas Stovetop Compatible"/>
  </r>
  <r>
    <s v="B08QW6CWWB"/>
    <x v="49"/>
    <x v="30"/>
    <n v="151"/>
    <n v="1.4"/>
    <n v="8.17"/>
    <x v="15"/>
    <n v="1"/>
    <n v="0"/>
    <n v="0"/>
    <s v="Auto Shut-Off, Cup Warmer, Milk Frother, One Touch Brew, Removable Tank"/>
  </r>
  <r>
    <s v="B08LQVZ89F"/>
    <x v="50"/>
    <x v="30"/>
    <n v="149"/>
    <n v="1.25"/>
    <m/>
    <x v="11"/>
    <n v="1"/>
    <n v="0"/>
    <n v="0"/>
    <s v="Cup Warmer, Milk Frother, Removable Tank"/>
  </r>
  <r>
    <s v="B0FGCSYK94"/>
    <x v="51"/>
    <x v="31"/>
    <n v="50"/>
    <n v="0.08"/>
    <n v="0.75"/>
    <x v="1"/>
    <n v="0"/>
    <n v="0"/>
    <n v="0"/>
    <s v="Auto Shut-Off"/>
  </r>
  <r>
    <s v="B0F1Y7C8PZ"/>
    <x v="14"/>
    <x v="32"/>
    <n v="70"/>
    <n v="0.06"/>
    <m/>
    <x v="11"/>
    <n v="0"/>
    <n v="0"/>
    <n v="0"/>
    <s v="Portable"/>
  </r>
  <r>
    <s v="B0CJ54PD3N"/>
    <x v="52"/>
    <x v="33"/>
    <n v="143"/>
    <n v="1.2"/>
    <n v="3.7"/>
    <x v="6"/>
    <n v="1"/>
    <n v="0"/>
    <n v="0"/>
    <s v="Auto Shut-Off, Milk Frother, PID and automatic pre-infusion, Removable water tank 1.2 "/>
  </r>
  <r>
    <s v="B0D5BC6Z1R"/>
    <x v="53"/>
    <x v="33"/>
    <n v="169"/>
    <n v="1.2"/>
    <n v="3.7"/>
    <x v="11"/>
    <n v="1"/>
    <n v="0"/>
    <n v="0"/>
    <s v="Milk Frother"/>
  </r>
  <r>
    <s v="B093Y2YD5D"/>
    <x v="54"/>
    <x v="33"/>
    <n v="589"/>
    <m/>
    <n v="7.7"/>
    <x v="15"/>
    <n v="1"/>
    <n v="1"/>
    <n v="0"/>
    <s v="Automatic Milk Carafe, Water Filter Integrated Coffee Grinder, Programmable, Removable Tank"/>
  </r>
  <r>
    <s v="B00YXDRV2U"/>
    <x v="55"/>
    <x v="33"/>
    <n v="369"/>
    <n v="0.47314880529926656"/>
    <n v="8"/>
    <x v="15"/>
    <n v="0"/>
    <n v="0"/>
    <n v="0"/>
    <s v="Programmable"/>
  </r>
  <r>
    <s v="B086H24F5F"/>
    <x v="56"/>
    <x v="33"/>
    <n v="549"/>
    <n v="1.3"/>
    <n v="8.1"/>
    <x v="3"/>
    <n v="1"/>
    <n v="0"/>
    <n v="0"/>
    <s v="Brass Boiler, Milk Frother, Professional Steam Wand"/>
  </r>
  <r>
    <s v="B086H1W384"/>
    <x v="56"/>
    <x v="33"/>
    <n v="549"/>
    <n v="2.1"/>
    <n v="8.1"/>
    <x v="3"/>
    <n v="1"/>
    <n v="0"/>
    <n v="0"/>
    <s v="Brass Boiler, Milk Frother, Professional Steam Wand"/>
  </r>
  <r>
    <s v="B086H42T3V"/>
    <x v="56"/>
    <x v="33"/>
    <n v="549"/>
    <n v="2.1"/>
    <n v="9"/>
    <x v="3"/>
    <n v="1"/>
    <n v="0"/>
    <n v="0"/>
    <s v="Brass Boiler, Milk Frother, Professional Steam Wand"/>
  </r>
  <r>
    <s v="B0CRTPTNHQ"/>
    <x v="29"/>
    <x v="34"/>
    <n v="100"/>
    <n v="1.8"/>
    <n v="4"/>
    <x v="13"/>
    <n v="1"/>
    <n v="0"/>
    <n v="0"/>
    <s v="Milk Frother"/>
  </r>
  <r>
    <s v="B0CVXCLWXN"/>
    <x v="57"/>
    <x v="34"/>
    <n v="80"/>
    <n v="1.5"/>
    <n v="4"/>
    <x v="1"/>
    <n v="1"/>
    <n v="0"/>
    <n v="0"/>
    <s v="Milk Frother"/>
  </r>
  <r>
    <s v="B0CT2SC7DM"/>
    <x v="5"/>
    <x v="34"/>
    <n v="90"/>
    <n v="1.5"/>
    <n v="5.5"/>
    <x v="16"/>
    <n v="1"/>
    <n v="0"/>
    <n v="0"/>
    <s v="Milk Frother"/>
  </r>
  <r>
    <s v="B0DK1Y7QDC"/>
    <x v="29"/>
    <x v="35"/>
    <n v="250"/>
    <m/>
    <m/>
    <x v="15"/>
    <n v="1"/>
    <n v="0"/>
    <n v="0"/>
    <s v="Milk Frother, barista, coffee brewing, home coffee, kitchen appliance"/>
  </r>
  <r>
    <s v="B07NXQ7TD5"/>
    <x v="58"/>
    <x v="36"/>
    <n v="22"/>
    <n v="0.45"/>
    <n v="0.79"/>
    <x v="11"/>
    <n v="0"/>
    <n v="0"/>
    <n v="0"/>
    <s v="Removable Tank"/>
  </r>
  <r>
    <s v="B09JGBQSHH"/>
    <x v="59"/>
    <x v="37"/>
    <n v="90"/>
    <n v="1.4"/>
    <n v="4.42"/>
    <x v="16"/>
    <n v="0"/>
    <n v="0"/>
    <n v="0"/>
    <s v="Cup Warmer"/>
  </r>
  <r>
    <s v="B0GPPP1MCX"/>
    <x v="41"/>
    <x v="38"/>
    <n v="53"/>
    <n v="0.08"/>
    <m/>
    <x v="7"/>
    <n v="0"/>
    <n v="0"/>
    <n v="0"/>
    <s v="Rapid Heating, Battery-Powered"/>
  </r>
  <r>
    <s v="B0DP9JRRPV"/>
    <x v="60"/>
    <x v="39"/>
    <n v="93"/>
    <n v="0.08"/>
    <n v="3.87"/>
    <x v="17"/>
    <n v="0"/>
    <n v="0"/>
    <n v="0"/>
    <s v="Auto Shut-Off, Lightweight"/>
  </r>
  <r>
    <s v="B0G4V15XSJ"/>
    <x v="8"/>
    <x v="39"/>
    <n v="190"/>
    <n v="0.8"/>
    <m/>
    <x v="7"/>
    <n v="1"/>
    <n v="1"/>
    <n v="0"/>
    <s v="Auto Shut-Off, Integrated Coffee Grinder, Milk Frother, Removable Tank"/>
  </r>
  <r>
    <s v="B0G63RB9TB"/>
    <x v="61"/>
    <x v="39"/>
    <n v="46"/>
    <n v="0.1"/>
    <m/>
    <x v="18"/>
    <n v="0"/>
    <n v="0"/>
    <n v="0"/>
    <s v="Heating Function, Portable, Single Cup Brew"/>
  </r>
  <r>
    <s v="B0FWKLGCPZ"/>
    <x v="62"/>
    <x v="40"/>
    <n v="190"/>
    <n v="1.2"/>
    <n v="4.2"/>
    <x v="19"/>
    <n v="0"/>
    <n v="0"/>
    <n v="0"/>
    <s v="Auto Clean Function"/>
  </r>
  <r>
    <s v="B0FWKPW1CM"/>
    <x v="28"/>
    <x v="40"/>
    <n v="190"/>
    <n v="1.7"/>
    <n v="4.2"/>
    <x v="20"/>
    <n v="0"/>
    <n v="0"/>
    <n v="0"/>
    <s v="Auto Clean Function"/>
  </r>
  <r>
    <s v="B0FWKSN689"/>
    <x v="28"/>
    <x v="40"/>
    <n v="160"/>
    <n v="1.2"/>
    <m/>
    <x v="0"/>
    <n v="0"/>
    <n v="0"/>
    <n v="0"/>
    <s v="Auto Clean Function"/>
  </r>
  <r>
    <s v="B0FYPVRL8Q"/>
    <x v="61"/>
    <x v="41"/>
    <n v="180"/>
    <n v="0.1"/>
    <n v="1.74"/>
    <x v="15"/>
    <n v="0"/>
    <n v="0"/>
    <n v="0"/>
    <s v="Adjustable Brew Strength, Lightweight, Permanent Filter, Portable"/>
  </r>
  <r>
    <s v="B0FY321JQ3"/>
    <x v="61"/>
    <x v="41"/>
    <n v="280"/>
    <n v="1"/>
    <m/>
    <x v="18"/>
    <n v="1"/>
    <n v="0"/>
    <n v="0"/>
    <s v="58mm Portafilter, Auto Shut-Off, Cup Warmer, Milk Frother, Programmable"/>
  </r>
  <r>
    <s v="B0DMXR7B9R"/>
    <x v="13"/>
    <x v="42"/>
    <n v="200"/>
    <n v="2"/>
    <m/>
    <x v="8"/>
    <n v="1"/>
    <n v="1"/>
    <n v="0"/>
    <s v="Adjustable Grind Level, Coffee Grinder, Cup Warmer, Milk Frother"/>
  </r>
  <r>
    <s v="B0DN1D2TDP"/>
    <x v="29"/>
    <x v="43"/>
    <n v="94"/>
    <n v="0.8"/>
    <n v="3.96"/>
    <x v="21"/>
    <n v="0"/>
    <n v="0"/>
    <n v="0"/>
    <s v="Auto Clean Function, Auto Shut-Off, Permanent Filter, Removable Tank, Self-Cleaning"/>
  </r>
  <r>
    <s v="B0G3X4MPXH"/>
    <x v="63"/>
    <x v="44"/>
    <n v="198"/>
    <n v="0.08"/>
    <n v="1.2"/>
    <x v="8"/>
    <n v="0"/>
    <n v="0"/>
    <n v="0"/>
    <s v="Portable"/>
  </r>
  <r>
    <s v="B0G58J6GVB"/>
    <x v="64"/>
    <x v="45"/>
    <n v="43"/>
    <n v="0.08"/>
    <m/>
    <x v="7"/>
    <n v="0"/>
    <n v="0"/>
    <n v="0"/>
    <s v="Rapid Heating, Battery-Powered"/>
  </r>
  <r>
    <s v="B0DFWZJFQY"/>
    <x v="41"/>
    <x v="46"/>
    <n v="269"/>
    <n v="1.1000000000000001"/>
    <m/>
    <x v="7"/>
    <n v="1"/>
    <n v="0"/>
    <n v="0"/>
    <s v="Auto Shut-Off, Cup Warmer, Milk Frother, Programmable, Water Filter"/>
  </r>
  <r>
    <s v="B0GH7PYNN8"/>
    <x v="61"/>
    <x v="47"/>
    <n v="400"/>
    <n v="1.5"/>
    <n v="12"/>
    <x v="18"/>
    <n v="1"/>
    <n v="1"/>
    <n v="0"/>
    <s v="Hygienic Milk Carafe Perfect for milk-based drinks. Automatic Espresso Coffee Machine, 1500W, 1,5L, Integrated Milk Frother, Touch LED Display, Large Water Tank &amp; Cup Warmer, Grinder, Black"/>
  </r>
  <r>
    <s v="B0GGSQ6LBB"/>
    <x v="61"/>
    <x v="47"/>
    <n v="130"/>
    <n v="1.8"/>
    <m/>
    <x v="18"/>
    <n v="1"/>
    <n v="0"/>
    <n v="0"/>
    <s v="Milk Frother"/>
  </r>
  <r>
    <s v="B0F7XBSXDT"/>
    <x v="65"/>
    <x v="48"/>
    <n v="79"/>
    <n v="0.6"/>
    <m/>
    <x v="9"/>
    <n v="0"/>
    <n v="0"/>
    <n v="0"/>
    <s v="Auto Shut-Off, Lightweight, Portable, Programmable, Removable Tank"/>
  </r>
  <r>
    <s v="B0FFW5169X"/>
    <x v="66"/>
    <x v="49"/>
    <n v="208"/>
    <n v="2.0457451342520243"/>
    <n v="4.5599999999999996"/>
    <x v="13"/>
    <n v="0"/>
    <n v="0"/>
    <n v="0"/>
    <s v="PressureInfusion Technology, Single Cup Brew, Water Filter"/>
  </r>
  <r>
    <s v="B097P3856B"/>
    <x v="67"/>
    <x v="50"/>
    <n v="225"/>
    <n v="1.4"/>
    <m/>
    <x v="11"/>
    <n v="0"/>
    <n v="0"/>
    <n v="0"/>
    <s v="Jug"/>
  </r>
  <r>
    <s v="B0C6B4KQF3"/>
    <x v="62"/>
    <x v="50"/>
    <n v="332"/>
    <n v="1.4"/>
    <m/>
    <x v="14"/>
    <n v="0"/>
    <n v="0"/>
    <n v="0"/>
    <s v="Dose selector"/>
  </r>
  <r>
    <s v="B0DJSYSVZ9"/>
    <x v="61"/>
    <x v="50"/>
    <n v="1548"/>
    <n v="2.2000000000000002"/>
    <m/>
    <x v="18"/>
    <n v="1"/>
    <n v="0"/>
    <n v="0"/>
    <s v="Auto milk froth &amp; clean cycle. ully automatic espresso machine KF8 is the ultimate way to explore a world of espresso. With 40+ pre-set recipes and a unique plant-based mode."/>
  </r>
  <r>
    <s v="B092ZYPY7B"/>
    <x v="68"/>
    <x v="51"/>
    <n v="51"/>
    <n v="1.2"/>
    <n v="2"/>
    <x v="5"/>
    <n v="0"/>
    <n v="0"/>
    <n v="0"/>
    <s v="Ideal for travel, camping, office, or car. Fits easily in bags—enjoy coffee anywhere"/>
  </r>
  <r>
    <s v="B0D2LKPZNR"/>
    <x v="69"/>
    <x v="51"/>
    <n v="86"/>
    <n v="0.9"/>
    <n v="3.2"/>
    <x v="15"/>
    <n v="1"/>
    <n v="0"/>
    <n v="0"/>
    <s v="Milk Frother, Thermal"/>
  </r>
  <r>
    <s v="B0CKRX64V4"/>
    <x v="70"/>
    <x v="51"/>
    <n v="86"/>
    <n v="1.2"/>
    <n v="3.42"/>
    <x v="15"/>
    <n v="1"/>
    <n v="0"/>
    <n v="0"/>
    <s v="Milk Frother"/>
  </r>
  <r>
    <s v="B07JK24D3K"/>
    <x v="71"/>
    <x v="51"/>
    <n v="128"/>
    <n v="1.4"/>
    <n v="4"/>
    <x v="5"/>
    <n v="0"/>
    <n v="0"/>
    <n v="0"/>
    <s v="Easy to use"/>
  </r>
  <r>
    <s v="B0DTKTBLVS"/>
    <x v="72"/>
    <x v="51"/>
    <n v="173"/>
    <n v="1.5"/>
    <n v="4.2"/>
    <x v="5"/>
    <n v="1"/>
    <n v="0"/>
    <n v="0"/>
    <s v="Milk Frother, Touch Display"/>
  </r>
  <r>
    <s v="B0CMQQGGM3"/>
    <x v="22"/>
    <x v="51"/>
    <n v="259"/>
    <n v="1.4"/>
    <n v="7.5"/>
    <x v="15"/>
    <n v="1"/>
    <n v="0"/>
    <n v="0"/>
    <s v="Milk Frother"/>
  </r>
  <r>
    <s v="B0DP33B8WH"/>
    <x v="14"/>
    <x v="51"/>
    <n v="169"/>
    <n v="1.8"/>
    <m/>
    <x v="9"/>
    <n v="1"/>
    <n v="0"/>
    <n v="0"/>
    <s v="Milk Frother"/>
  </r>
  <r>
    <s v="B0FWK5H5NG"/>
    <x v="47"/>
    <x v="52"/>
    <n v="140"/>
    <n v="1"/>
    <n v="3.85"/>
    <x v="3"/>
    <n v="0"/>
    <n v="0"/>
    <n v="0"/>
    <s v="Auto Shut-Off, Lightweight, Portable, Removable Tank, Single Cup Brew"/>
  </r>
  <r>
    <s v="B0BG4GLT1N"/>
    <x v="73"/>
    <x v="52"/>
    <n v="90"/>
    <n v="0.8"/>
    <m/>
    <x v="11"/>
    <n v="0"/>
    <n v="0"/>
    <n v="0"/>
    <s v="Portable, Removable Tank, Timer"/>
  </r>
  <r>
    <s v="B0FWK5Y88K"/>
    <x v="74"/>
    <x v="52"/>
    <n v="102"/>
    <n v="0.8"/>
    <m/>
    <x v="11"/>
    <n v="0"/>
    <n v="0"/>
    <n v="0"/>
    <s v="Portable, Programmable, Removable Tank"/>
  </r>
  <r>
    <s v="B0FWK5BXQ9"/>
    <x v="75"/>
    <x v="52"/>
    <n v="149"/>
    <n v="1"/>
    <m/>
    <x v="3"/>
    <n v="0"/>
    <n v="0"/>
    <n v="0"/>
    <s v="Auto Shut-Off, Lightweight, Portable, Removable Tank, Single Cup Brew"/>
  </r>
  <r>
    <s v="B00YJCK9ME"/>
    <x v="76"/>
    <x v="53"/>
    <n v="388"/>
    <n v="0.47314880529926656"/>
    <n v="0.26"/>
    <x v="2"/>
    <n v="1"/>
    <n v="0"/>
    <n v="0"/>
    <s v="Milk Frother"/>
  </r>
  <r>
    <s v="B00KCL8ZZO"/>
    <x v="77"/>
    <x v="53"/>
    <n v="80"/>
    <n v="1.25"/>
    <n v="2"/>
    <x v="3"/>
    <n v="0"/>
    <n v="0"/>
    <n v="0"/>
    <s v="Water level indicator and Anti-drip function"/>
  </r>
  <r>
    <s v="B07CV1RHZX"/>
    <x v="78"/>
    <x v="53"/>
    <n v="140"/>
    <n v="0.6"/>
    <n v="2.2999999999999998"/>
    <x v="2"/>
    <n v="0"/>
    <n v="0"/>
    <n v="0"/>
    <s v="Programmable, Timer"/>
  </r>
  <r>
    <s v="B01MZANINV"/>
    <x v="79"/>
    <x v="53"/>
    <n v="128"/>
    <n v="0.6"/>
    <n v="2.34"/>
    <x v="2"/>
    <n v="0"/>
    <n v="0"/>
    <n v="0"/>
    <s v="Programmable"/>
  </r>
  <r>
    <s v="B06XJ3MFMN"/>
    <x v="80"/>
    <x v="53"/>
    <n v="115"/>
    <n v="0.6"/>
    <n v="2.5"/>
    <x v="1"/>
    <n v="0"/>
    <n v="0"/>
    <n v="0"/>
    <s v="Programmable"/>
  </r>
  <r>
    <s v="B08TLTY94C"/>
    <x v="81"/>
    <x v="53"/>
    <n v="549"/>
    <n v="2.2999999999999998"/>
    <n v="10.19"/>
    <x v="15"/>
    <n v="0"/>
    <n v="0"/>
    <n v="0"/>
    <s v="Programmable"/>
  </r>
  <r>
    <s v="B0F6D3P6LR"/>
    <x v="46"/>
    <x v="53"/>
    <n v="300"/>
    <n v="3.5"/>
    <n v="14"/>
    <x v="11"/>
    <n v="0"/>
    <n v="0"/>
    <n v="0"/>
    <s v="Adjustable Brew Strength"/>
  </r>
  <r>
    <s v="B0DB5JMBMR"/>
    <x v="82"/>
    <x v="54"/>
    <n v="38"/>
    <m/>
    <n v="0.89900000000000002"/>
    <x v="8"/>
    <n v="0"/>
    <n v="0"/>
    <n v="0"/>
    <s v="Self-Heating, Portable, Cold/Hot Water Compatibility"/>
  </r>
  <r>
    <s v="B00CJG1OHQ"/>
    <x v="11"/>
    <x v="55"/>
    <n v="956"/>
    <n v="1.6"/>
    <n v="5.5"/>
    <x v="22"/>
    <n v="0"/>
    <n v="0"/>
    <n v="1"/>
    <s v="Manual"/>
  </r>
  <r>
    <s v="B09HV3XK14"/>
    <x v="83"/>
    <x v="56"/>
    <n v="80"/>
    <n v="0.7"/>
    <n v="2.92"/>
    <x v="13"/>
    <n v="0"/>
    <n v="0"/>
    <n v="0"/>
    <s v="Permanent Filter"/>
  </r>
  <r>
    <s v="B07BKYKFSV"/>
    <x v="84"/>
    <x v="57"/>
    <n v="170"/>
    <n v="1"/>
    <n v="5.14"/>
    <x v="12"/>
    <n v="1"/>
    <n v="0"/>
    <n v="0"/>
    <s v="Milk Frother, Programmable"/>
  </r>
  <r>
    <s v="B094NSDC5M"/>
    <x v="41"/>
    <x v="57"/>
    <n v="273"/>
    <n v="1.5"/>
    <n v="7.95"/>
    <x v="23"/>
    <n v="0"/>
    <n v="0"/>
    <n v="0"/>
    <s v="Programmable"/>
  </r>
  <r>
    <s v="B0FDKYVQN7"/>
    <x v="35"/>
    <x v="58"/>
    <n v="75"/>
    <n v="0.08"/>
    <m/>
    <x v="11"/>
    <n v="0"/>
    <n v="0"/>
    <n v="0"/>
    <s v="Lightweight, Portable"/>
  </r>
  <r>
    <s v="B0FN7J3V1X"/>
    <x v="46"/>
    <x v="58"/>
    <n v="130"/>
    <n v="1.3"/>
    <m/>
    <x v="2"/>
    <n v="0"/>
    <n v="0"/>
    <n v="0"/>
    <s v="20 Bar ULKA Pump, Auto Clean Function, Built-in Flow Meter, Cup Warmer, Lightweight"/>
  </r>
  <r>
    <s v="B07TVNNZCY"/>
    <x v="85"/>
    <x v="59"/>
    <n v="299"/>
    <n v="1.2"/>
    <m/>
    <x v="1"/>
    <n v="0"/>
    <n v="0"/>
    <n v="0"/>
    <s v="Programmable"/>
  </r>
  <r>
    <s v="B07XTY6Y1M"/>
    <x v="86"/>
    <x v="59"/>
    <n v="379"/>
    <n v="1.5"/>
    <m/>
    <x v="11"/>
    <n v="1"/>
    <n v="1"/>
    <n v="0"/>
    <s v="Cup Warmer, Integrated Coffee Grinder, Milk Frother, Programmable, Removable Tank"/>
  </r>
  <r>
    <s v="B09N4FPN1X"/>
    <x v="61"/>
    <x v="59"/>
    <n v="346"/>
    <n v="1.2"/>
    <m/>
    <x v="18"/>
    <n v="1"/>
    <n v="0"/>
    <n v="0"/>
    <s v="Milk Frother"/>
  </r>
  <r>
    <s v="B0G1JSY6K5"/>
    <x v="14"/>
    <x v="60"/>
    <n v="28"/>
    <n v="0.23657440264963328"/>
    <m/>
    <x v="11"/>
    <n v="0"/>
    <n v="0"/>
    <n v="0"/>
    <s v="Portable"/>
  </r>
  <r>
    <s v="B0FPD2JGJP"/>
    <x v="11"/>
    <x v="61"/>
    <n v="37"/>
    <m/>
    <n v="0.8"/>
    <x v="7"/>
    <n v="0"/>
    <n v="0"/>
    <n v="0"/>
    <s v="Adjustable Brew Strength"/>
  </r>
  <r>
    <s v="B0FSRZBQQP"/>
    <x v="87"/>
    <x v="62"/>
    <n v="290"/>
    <n v="1.5"/>
    <n v="4.97"/>
    <x v="6"/>
    <n v="0"/>
    <n v="0"/>
    <n v="0"/>
    <s v="Self-Cleaning"/>
  </r>
  <r>
    <s v="B0GDFZKTDZ"/>
    <x v="88"/>
    <x v="63"/>
    <n v="300"/>
    <n v="2.5"/>
    <m/>
    <x v="7"/>
    <n v="1"/>
    <n v="1"/>
    <n v="0"/>
    <s v="Cup Warmer, Milk Frother, Removable Tank, Self-Cleaning, Concial Burr Grinder, 20 Bar High Pressure, 30 Grind SettingsCup Warmer, Milk Frother, Removable Tank, Self-Cleaning "/>
  </r>
  <r>
    <s v="B0BX4JH2KZ"/>
    <x v="89"/>
    <x v="64"/>
    <n v="148"/>
    <n v="1"/>
    <m/>
    <x v="11"/>
    <n v="1"/>
    <n v="0"/>
    <n v="0"/>
    <s v="15 Bars of Pressure, Integrated Milk Frother, LED Illuminated Buttons, 1L Detachable Water Tank, Overheat &amp; Overpressure Protection, Detachable Drip Tray, 45s Preheat time, 20s-40s Brewing Time, 29 Min standby,15 Bars of Pressure, Integrated Milk Frother, LED Illuminated Buttons"/>
  </r>
  <r>
    <s v="B073ZL4Y7F"/>
    <x v="90"/>
    <x v="24"/>
    <n v="109"/>
    <n v="0.6"/>
    <n v="1.81"/>
    <x v="2"/>
    <n v="0"/>
    <n v="0"/>
    <n v="0"/>
    <s v="Programmable"/>
  </r>
  <r>
    <s v="B00G5YOVZA"/>
    <x v="91"/>
    <x v="24"/>
    <n v="95"/>
    <n v="0.8"/>
    <n v="2.4"/>
    <x v="9"/>
    <n v="0"/>
    <n v="0"/>
    <n v="0"/>
    <s v="Programmable"/>
  </r>
  <r>
    <s v="B01MG4VZCT"/>
    <x v="92"/>
    <x v="24"/>
    <n v="105"/>
    <m/>
    <n v="2.4"/>
    <x v="8"/>
    <n v="0"/>
    <n v="0"/>
    <n v="0"/>
    <s v="Programmable"/>
  </r>
  <r>
    <s v="B01IHRLQQO"/>
    <x v="93"/>
    <x v="24"/>
    <n v="199"/>
    <n v="1"/>
    <n v="4"/>
    <x v="14"/>
    <n v="1"/>
    <n v="0"/>
    <n v="0"/>
    <s v="Milk Frother"/>
  </r>
  <r>
    <s v="B0CKHYSRRF"/>
    <x v="94"/>
    <x v="24"/>
    <n v="398"/>
    <n v="2"/>
    <n v="10"/>
    <x v="8"/>
    <n v="1"/>
    <n v="0"/>
    <n v="0"/>
    <s v="Milk Frother"/>
  </r>
  <r>
    <s v="B0FTH364BM"/>
    <x v="41"/>
    <x v="65"/>
    <n v="60"/>
    <n v="0.06"/>
    <m/>
    <x v="7"/>
    <n v="0"/>
    <n v="0"/>
    <n v="0"/>
    <s v="Portable, Self-Heating, Compatible with Multiple Coffee Types"/>
  </r>
  <r>
    <s v="B0DFCRHTNM"/>
    <x v="95"/>
    <x v="66"/>
    <n v="450"/>
    <n v="2"/>
    <n v="16.3"/>
    <x v="2"/>
    <n v="0"/>
    <n v="1"/>
    <n v="0"/>
    <s v="Built-in Coffee Grinder, Top-Rack Dishwasher Safe Removeable Parts."/>
  </r>
  <r>
    <s v="B0FG32DG1K"/>
    <x v="35"/>
    <x v="67"/>
    <n v="40"/>
    <n v="0.08"/>
    <n v="0.52"/>
    <x v="1"/>
    <n v="0"/>
    <n v="0"/>
    <n v="0"/>
    <s v="Lightweight, Portable"/>
  </r>
  <r>
    <s v="B0FG31392Q"/>
    <x v="35"/>
    <x v="67"/>
    <n v="40"/>
    <n v="0.08"/>
    <n v="0.52"/>
    <x v="11"/>
    <n v="0"/>
    <n v="0"/>
    <n v="0"/>
    <s v="Lightweight, Portable"/>
  </r>
  <r>
    <s v="B0FG26Z1C7"/>
    <x v="96"/>
    <x v="68"/>
    <n v="40"/>
    <m/>
    <n v="0.6"/>
    <x v="9"/>
    <n v="0"/>
    <n v="0"/>
    <n v="0"/>
    <s v="Self-heating"/>
  </r>
  <r>
    <s v="B0FQQY3RXB"/>
    <x v="97"/>
    <x v="69"/>
    <n v="37"/>
    <n v="0.09"/>
    <m/>
    <x v="3"/>
    <n v="0"/>
    <n v="0"/>
    <n v="0"/>
    <s v="20-Bar Professional Pump, Car &amp; RV Compatible USB-C Rechargeable Power System, Dual Brewing Options (Ground Coffee &amp; Nespresso® Capsules), Easy-to-Rinse Components, On-the-Go Coffee Maker20-Bar Professional Pump"/>
  </r>
  <r>
    <s v="B0BRKG7X22"/>
    <x v="98"/>
    <x v="70"/>
    <n v="140"/>
    <n v="0.08"/>
    <n v="0.67100000000000004"/>
    <x v="3"/>
    <n v="0"/>
    <n v="0"/>
    <n v="0"/>
    <s v="Rechargeable Battery, USB-C Charging, Portable Design, Auto Shut-off, Travel Friendly, Lightweight"/>
  </r>
  <r>
    <s v="B00CWXU9FO"/>
    <x v="7"/>
    <x v="70"/>
    <n v="190"/>
    <n v="7.0000000000000007E-2"/>
    <n v="0.68500000000000005"/>
    <x v="14"/>
    <n v="0"/>
    <n v="0"/>
    <n v="0"/>
    <s v="Rechargeable Battery, Fast USB-C Charging, Portable Design, Auto Shut-off, IP67 Waterproof, Travel Friendly, LightweightRechargeable Battery, Fast USB-C Charging, Portable Design, Auto Shut-off"/>
  </r>
  <r>
    <s v="B0FQJZ3SW3"/>
    <x v="99"/>
    <x v="71"/>
    <n v="41"/>
    <m/>
    <n v="0.8"/>
    <x v="15"/>
    <n v="0"/>
    <n v="0"/>
    <n v="0"/>
    <s v="Auto Shut-Off, Includes Hot Plate, Portable"/>
  </r>
  <r>
    <s v="B0D8TTJ2G6"/>
    <x v="23"/>
    <x v="72"/>
    <n v="300"/>
    <n v="1.2"/>
    <n v="5"/>
    <x v="16"/>
    <n v="1"/>
    <n v="0"/>
    <n v="0"/>
    <s v="Milk frother"/>
  </r>
  <r>
    <s v="B0D66FJJWT"/>
    <x v="100"/>
    <x v="72"/>
    <n v="300"/>
    <n v="1.2"/>
    <n v="5"/>
    <x v="16"/>
    <n v="0"/>
    <n v="1"/>
    <n v="0"/>
    <s v="Automatic grinder for single cup brewing."/>
  </r>
  <r>
    <s v="B0D62R7YF1"/>
    <x v="12"/>
    <x v="72"/>
    <n v="300"/>
    <n v="1.2"/>
    <n v="5"/>
    <x v="1"/>
    <n v="1"/>
    <n v="0"/>
    <n v="0"/>
    <s v="Milk Frother"/>
  </r>
  <r>
    <s v="B0CRDM9HY1"/>
    <x v="101"/>
    <x v="72"/>
    <n v="395"/>
    <n v="1.8"/>
    <n v="5"/>
    <x v="2"/>
    <n v="1"/>
    <n v="0"/>
    <n v="0"/>
    <s v="Milk Frother"/>
  </r>
  <r>
    <s v="B0D66HPYXT"/>
    <x v="12"/>
    <x v="72"/>
    <n v="380"/>
    <n v="1.2"/>
    <n v="7.4"/>
    <x v="8"/>
    <n v="0"/>
    <n v="0"/>
    <n v="0"/>
    <s v="Integrierte Kaffeemühle"/>
  </r>
  <r>
    <s v="B0FKBM1LC6"/>
    <x v="8"/>
    <x v="73"/>
    <n v="100"/>
    <n v="1.3"/>
    <n v="3.25"/>
    <x v="7"/>
    <n v="1"/>
    <n v="0"/>
    <n v="0"/>
    <s v="Auto Shut-Off, Milk Frother, Removable Tank"/>
  </r>
  <r>
    <s v="B0FQP6NV59"/>
    <x v="61"/>
    <x v="73"/>
    <n v="153"/>
    <n v="0.85"/>
    <n v="2.9"/>
    <x v="18"/>
    <n v="0"/>
    <n v="0"/>
    <n v="0"/>
    <s v="Auto Shut-Off, Programmable, Removable Tank"/>
  </r>
  <r>
    <s v="B0FH5K763P"/>
    <x v="102"/>
    <x v="74"/>
    <n v="67"/>
    <n v="1.2"/>
    <m/>
    <x v="11"/>
    <n v="1"/>
    <n v="0"/>
    <n v="0"/>
    <s v="Milk Frother, Permanent Filter, Removable Tank, Single Cup Brew, Water Filter"/>
  </r>
  <r>
    <s v="B0DQ3NNJ5X"/>
    <x v="35"/>
    <x v="75"/>
    <n v="87"/>
    <n v="0.76500000000000001"/>
    <n v="3.5"/>
    <x v="10"/>
    <n v="0"/>
    <n v="0"/>
    <n v="0"/>
    <s v="Auto Shut-Off"/>
  </r>
  <r>
    <s v="B0B57D8CFS"/>
    <x v="94"/>
    <x v="76"/>
    <n v="90"/>
    <n v="1"/>
    <n v="3.86"/>
    <x v="20"/>
    <n v="0"/>
    <n v="0"/>
    <n v="0"/>
    <s v="Iconic Retro gauge indicates mode selected and when temperature reached, Powerful 15 bar pump pressure"/>
  </r>
  <r>
    <s v="B00OZM77VY"/>
    <x v="103"/>
    <x v="76"/>
    <n v="60"/>
    <n v="1.5"/>
    <n v="4"/>
    <x v="2"/>
    <n v="0"/>
    <n v="1"/>
    <n v="0"/>
    <s v="Integrated Coffee Grinder, Programmable"/>
  </r>
  <r>
    <s v="B0CQ8RFDTT"/>
    <x v="104"/>
    <x v="76"/>
    <n v="99"/>
    <n v="1.1000000000000001"/>
    <n v="4.5"/>
    <x v="12"/>
    <n v="1"/>
    <n v="0"/>
    <n v="0"/>
    <s v="Removable drip tray for easy cleaning, Removable water tank with handle, Steam wand for milk frothing &amp; hot water dispenser Cup warmer "/>
  </r>
  <r>
    <s v="B0F2FBKW97"/>
    <x v="60"/>
    <x v="77"/>
    <n v="85"/>
    <n v="1.5"/>
    <n v="3.8"/>
    <x v="8"/>
    <n v="1"/>
    <n v="0"/>
    <n v="0"/>
    <s v="Milk Frother"/>
  </r>
  <r>
    <s v="B0FQNYG8CV"/>
    <x v="105"/>
    <x v="78"/>
    <n v="499"/>
    <m/>
    <n v="10.5"/>
    <x v="14"/>
    <n v="0"/>
    <n v="1"/>
    <n v="0"/>
    <s v="Coffee Grinder"/>
  </r>
  <r>
    <s v="B0FF5VLZ5X"/>
    <x v="64"/>
    <x v="79"/>
    <n v="89"/>
    <n v="1.35"/>
    <n v="3.25"/>
    <x v="16"/>
    <n v="1"/>
    <n v="0"/>
    <n v="0"/>
    <s v="Milk Frother"/>
  </r>
  <r>
    <s v="B0D3M9KYVY"/>
    <x v="106"/>
    <x v="79"/>
    <n v="30"/>
    <n v="0.4"/>
    <n v="1.5"/>
    <x v="8"/>
    <n v="0"/>
    <n v="1"/>
    <n v="0"/>
    <s v="Adjustable Brew Strength, Auto Shut-Off, Integrated Coffee Grinder, Lightweight, Portable, Programmable, Removable Tank, Single Cup Brew, Thermal, TimerAdjustable Brew Strength, Auto Shut-Off, Integrated Coffee Grinder"/>
  </r>
  <r>
    <s v="B0BRQB2BD9"/>
    <x v="107"/>
    <x v="79"/>
    <n v="95"/>
    <n v="1.4"/>
    <n v="4.1399999999999997"/>
    <x v="3"/>
    <n v="1"/>
    <n v="0"/>
    <n v="0"/>
    <s v="Espresso Machine, Latte, Cappuccino, Macchiato, Caramel, Pumpkin Spice, Milk Frothing Wand, 15 Bar pressure pump, removable and washable drip tray, 850w power, 1.4l tank, Single &amp; Double EspressoEspresso Machine, Latte, Cappuccino, Macchiato, Caramel, "/>
  </r>
  <r>
    <s v="B0FQ5ZS1TM"/>
    <x v="29"/>
    <x v="80"/>
    <n v="329"/>
    <n v="1.2"/>
    <n v="5"/>
    <x v="15"/>
    <n v="0"/>
    <n v="0"/>
    <n v="0"/>
    <s v="Capsule Coffee Machine, Pod Machine, Stainless Steel Body, Espresso or Lungo Coffee, 1.2L Tank Capacity, 19 bar Pressure, Beige"/>
  </r>
  <r>
    <s v="B01M35TSMC"/>
    <x v="108"/>
    <x v="81"/>
    <n v="465"/>
    <n v="1"/>
    <n v="4.7"/>
    <x v="3"/>
    <n v="1"/>
    <n v="0"/>
    <n v="0"/>
    <s v="Milk Frother, Semi-Automatic"/>
  </r>
  <r>
    <s v="B0CLB37P6B"/>
    <x v="88"/>
    <x v="81"/>
    <n v="399"/>
    <n v="1.7"/>
    <n v="6"/>
    <x v="8"/>
    <n v="1"/>
    <n v="0"/>
    <n v="0"/>
    <s v="Milk Frother, Retro Style, Italian Made, Compact, Stainless Steel, Non-Drip,"/>
  </r>
  <r>
    <s v="B0F1ZFMBJH"/>
    <x v="8"/>
    <x v="81"/>
    <n v="1309"/>
    <n v="1.633186532177866"/>
    <n v="12.7"/>
    <x v="24"/>
    <n v="1"/>
    <n v="0"/>
    <n v="0"/>
    <s v="Jug, Milk Frother, Removable Tank, Thermal"/>
  </r>
  <r>
    <s v="B0GQ2VCSPM"/>
    <x v="61"/>
    <x v="82"/>
    <n v="67"/>
    <n v="1.5"/>
    <m/>
    <x v="18"/>
    <n v="0"/>
    <n v="0"/>
    <n v="0"/>
    <s v="Cup Warmer"/>
  </r>
  <r>
    <s v="B0B6R6CKMK"/>
    <x v="109"/>
    <x v="83"/>
    <n v="198"/>
    <n v="1.8"/>
    <n v="5.2"/>
    <x v="11"/>
    <n v="1"/>
    <n v="0"/>
    <n v="0"/>
    <s v="Milk Frother, Removable Tank"/>
  </r>
  <r>
    <s v="B0FBFM3FBT"/>
    <x v="11"/>
    <x v="84"/>
    <n v="70"/>
    <n v="1.5"/>
    <m/>
    <x v="7"/>
    <n v="1"/>
    <n v="0"/>
    <n v="0"/>
    <s v="Milk Frother"/>
  </r>
  <r>
    <s v="B082WMQQWW"/>
    <x v="110"/>
    <x v="85"/>
    <n v="77"/>
    <n v="1.5"/>
    <n v="4.41"/>
    <x v="1"/>
    <n v="1"/>
    <n v="0"/>
    <n v="0"/>
    <s v="Milk Frother, Removable Tank"/>
  </r>
  <r>
    <s v="B0DP58QRQC"/>
    <x v="22"/>
    <x v="86"/>
    <n v="39"/>
    <n v="0.7"/>
    <n v="2.8"/>
    <x v="2"/>
    <n v="0"/>
    <n v="0"/>
    <n v="0"/>
    <s v="Auto Clean Function, Auto Shut-Off, Intensity Boost Function, Made from 60% recycled plastic, One Touch OperationAuto Clean Function, Auto Shut-Off, Intensity Boost Function"/>
  </r>
  <r>
    <s v="B0DP5685DW"/>
    <x v="22"/>
    <x v="86"/>
    <n v="40"/>
    <n v="0.7"/>
    <n v="2.8"/>
    <x v="2"/>
    <n v="0"/>
    <n v="0"/>
    <n v="0"/>
    <s v="Auto Clean Function, Auto Shut-Off, Intensity Boost Function, Made from 35% recycled plastic, One Touch OperationAuto Clean Function, Auto Shut-Off, Intensity Boost Function"/>
  </r>
  <r>
    <s v="B08124SNX1"/>
    <x v="111"/>
    <x v="86"/>
    <n v="100"/>
    <n v="1.3"/>
    <n v="3.28"/>
    <x v="14"/>
    <n v="0"/>
    <n v="0"/>
    <n v="0"/>
    <s v="Auto Clean Function, Removable Tank, Water Filter"/>
  </r>
  <r>
    <s v="B0B18VJH8V"/>
    <x v="112"/>
    <x v="86"/>
    <n v="60"/>
    <n v="1.4"/>
    <n v="3.4"/>
    <x v="12"/>
    <n v="0"/>
    <n v="0"/>
    <n v="0"/>
    <s v="One button operation, Programmable, Removable Tank, Uses intellibrew technology, Water Filter"/>
  </r>
  <r>
    <s v="B0FRG66FTF"/>
    <x v="113"/>
    <x v="86"/>
    <n v="44"/>
    <n v="0.7"/>
    <n v="4.0999999999999996"/>
    <x v="14"/>
    <n v="0"/>
    <n v="0"/>
    <n v="0"/>
    <s v="Adjustable cup size, Auto Clean Function, Auto Shut-Off, Includes 70 drinks from well loved brands like Costa, Cadburys, Kenco and Lor ., One Touch Drinks Maker for coffee and milky drinksAdjustable cup size, Auto Clean Function, Auto Shut-Off"/>
  </r>
  <r>
    <s v="B0FL2QHM7H"/>
    <x v="60"/>
    <x v="87"/>
    <n v="270"/>
    <n v="2.8"/>
    <n v="12"/>
    <x v="12"/>
    <n v="0"/>
    <n v="1"/>
    <n v="0"/>
    <s v="Cup Warmer, Integrated Coffee Grinder, Removable Tank"/>
  </r>
  <r>
    <s v="B0FY3XTDLW"/>
    <x v="28"/>
    <x v="88"/>
    <n v="60"/>
    <n v="0.6"/>
    <m/>
    <x v="2"/>
    <n v="0"/>
    <n v="0"/>
    <n v="0"/>
    <s v=" ground coffee option, removable 40oz water tank, adjustable drip tray, compact design, one touch operation, auto shut off, low noise brewing, reusable filter included, energy efficient, portable coffee maker"/>
  </r>
  <r>
    <s v="B09WMGG84T"/>
    <x v="114"/>
    <x v="89"/>
    <n v="21"/>
    <n v="0.15"/>
    <m/>
    <x v="2"/>
    <n v="0"/>
    <n v="0"/>
    <n v="0"/>
    <s v="Removable Tank"/>
  </r>
  <r>
    <s v="B0DYDQ5G9V"/>
    <x v="115"/>
    <x v="90"/>
    <n v="40"/>
    <n v="0.06"/>
    <n v="0.83"/>
    <x v="13"/>
    <n v="0"/>
    <n v="0"/>
    <n v="0"/>
    <s v="3-in-1 design, high pressure pump"/>
  </r>
  <r>
    <s v="B06WD3YX91"/>
    <x v="116"/>
    <x v="91"/>
    <n v="13"/>
    <n v="1.4194464158977997"/>
    <n v="0.55000000000000004"/>
    <x v="2"/>
    <n v="0"/>
    <n v="0"/>
    <n v="0"/>
    <s v="300ml Capacity, With Replacement Gasket"/>
  </r>
  <r>
    <s v="B0BFH7V73L"/>
    <x v="117"/>
    <x v="92"/>
    <n v="55"/>
    <n v="0.08"/>
    <n v="0.28999999999999998"/>
    <x v="1"/>
    <n v="0"/>
    <n v="0"/>
    <n v="1"/>
    <s v="Compatible with NS original capsules and compatibles, Manual, Portable"/>
  </r>
  <r>
    <s v="B01M4J94WY"/>
    <x v="118"/>
    <x v="92"/>
    <n v="50"/>
    <n v="7.0000000000000007E-2"/>
    <n v="0.28999999999999998"/>
    <x v="8"/>
    <n v="0"/>
    <n v="0"/>
    <n v="0"/>
    <s v="Portable"/>
  </r>
  <r>
    <s v="B07RZWCY12"/>
    <x v="119"/>
    <x v="92"/>
    <n v="80"/>
    <n v="7.9556755220912059E-2"/>
    <n v="0.33600000000000002"/>
    <x v="2"/>
    <n v="0"/>
    <n v="0"/>
    <n v="1"/>
    <s v="Manual"/>
  </r>
  <r>
    <s v="B00VTA9F6U"/>
    <x v="120"/>
    <x v="92"/>
    <n v="50"/>
    <n v="7.0000000000000007E-2"/>
    <n v="0.36"/>
    <x v="2"/>
    <n v="0"/>
    <n v="0"/>
    <n v="1"/>
    <s v="Manual operation, portable"/>
  </r>
  <r>
    <s v="B0D52XSWKB"/>
    <x v="121"/>
    <x v="92"/>
    <n v="55"/>
    <n v="7.6715442534450923E-2"/>
    <n v="0.36299999999999999"/>
    <x v="3"/>
    <n v="1"/>
    <n v="0"/>
    <n v="0"/>
    <s v="Milk Frother, Thermal"/>
  </r>
  <r>
    <s v="B08X627458"/>
    <x v="122"/>
    <x v="93"/>
    <n v="275"/>
    <m/>
    <n v="4.0999999999999996"/>
    <x v="8"/>
    <n v="1"/>
    <n v="0"/>
    <n v="0"/>
    <s v="Cup Warmer, Milk Frother, Removable Tank"/>
  </r>
  <r>
    <s v="B0FBWXDDJ8"/>
    <x v="61"/>
    <x v="94"/>
    <n v="206"/>
    <n v="0.9"/>
    <m/>
    <x v="18"/>
    <n v="1"/>
    <n v="0"/>
    <n v="0"/>
    <s v="15 bar pump and steam wand for milk"/>
  </r>
  <r>
    <s v="B0FQ5B57Q3"/>
    <x v="123"/>
    <x v="95"/>
    <n v="15"/>
    <n v="1.4194464158977997"/>
    <n v="0.56000000000000005"/>
    <x v="2"/>
    <n v="0"/>
    <n v="0"/>
    <n v="0"/>
    <s v="Portable"/>
  </r>
  <r>
    <s v="B0G5YCGZQ8"/>
    <x v="27"/>
    <x v="96"/>
    <n v="40"/>
    <n v="0.15"/>
    <n v="0.68"/>
    <x v="3"/>
    <n v="0"/>
    <n v="0"/>
    <n v="0"/>
    <s v="Port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6D80D-A79E-2643-A5D3-6788BD49AC3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9" firstHeaderRow="1" firstDataRow="1" firstDataCol="1"/>
  <pivotFields count="11">
    <pivotField showAll="0"/>
    <pivotField dataField="1" showAll="0">
      <items count="125">
        <item x="61"/>
        <item x="8"/>
        <item x="41"/>
        <item x="11"/>
        <item x="88"/>
        <item x="29"/>
        <item x="62"/>
        <item x="10"/>
        <item x="60"/>
        <item x="28"/>
        <item x="64"/>
        <item x="2"/>
        <item x="47"/>
        <item x="35"/>
        <item x="5"/>
        <item x="87"/>
        <item x="97"/>
        <item x="104"/>
        <item x="24"/>
        <item x="37"/>
        <item x="14"/>
        <item x="27"/>
        <item x="46"/>
        <item x="72"/>
        <item x="75"/>
        <item x="63"/>
        <item x="53"/>
        <item x="13"/>
        <item x="96"/>
        <item x="51"/>
        <item x="76"/>
        <item x="18"/>
        <item x="59"/>
        <item x="94"/>
        <item x="1"/>
        <item x="106"/>
        <item x="99"/>
        <item x="3"/>
        <item x="12"/>
        <item x="43"/>
        <item x="52"/>
        <item x="57"/>
        <item x="89"/>
        <item x="82"/>
        <item x="23"/>
        <item x="49"/>
        <item x="69"/>
        <item x="84"/>
        <item x="81"/>
        <item x="107"/>
        <item x="66"/>
        <item x="4"/>
        <item x="83"/>
        <item x="101"/>
        <item x="115"/>
        <item x="70"/>
        <item x="67"/>
        <item x="22"/>
        <item x="45"/>
        <item x="42"/>
        <item x="54"/>
        <item x="7"/>
        <item x="65"/>
        <item x="100"/>
        <item x="108"/>
        <item x="68"/>
        <item x="102"/>
        <item x="31"/>
        <item x="74"/>
        <item x="95"/>
        <item x="9"/>
        <item x="26"/>
        <item x="55"/>
        <item x="30"/>
        <item x="114"/>
        <item x="71"/>
        <item x="44"/>
        <item x="19"/>
        <item x="121"/>
        <item x="6"/>
        <item x="39"/>
        <item x="79"/>
        <item x="113"/>
        <item x="86"/>
        <item x="20"/>
        <item x="56"/>
        <item x="17"/>
        <item x="109"/>
        <item x="32"/>
        <item x="50"/>
        <item x="112"/>
        <item x="122"/>
        <item x="33"/>
        <item x="111"/>
        <item x="78"/>
        <item x="117"/>
        <item x="25"/>
        <item x="85"/>
        <item x="110"/>
        <item x="123"/>
        <item x="15"/>
        <item x="93"/>
        <item x="16"/>
        <item x="103"/>
        <item x="105"/>
        <item x="119"/>
        <item x="73"/>
        <item x="116"/>
        <item x="40"/>
        <item x="77"/>
        <item x="48"/>
        <item x="98"/>
        <item x="120"/>
        <item x="38"/>
        <item x="92"/>
        <item x="118"/>
        <item x="58"/>
        <item x="90"/>
        <item x="36"/>
        <item x="21"/>
        <item x="80"/>
        <item x="0"/>
        <item x="34"/>
        <item x="91"/>
        <item t="default"/>
      </items>
    </pivotField>
    <pivotField axis="axisRow" showAll="0">
      <items count="101">
        <item x="0"/>
        <item x="1"/>
        <item x="2"/>
        <item x="3"/>
        <item x="4"/>
        <item x="5"/>
        <item x="6"/>
        <item x="7"/>
        <item x="8"/>
        <item x="9"/>
        <item x="10"/>
        <item x="11"/>
        <item x="12"/>
        <item x="13"/>
        <item x="14"/>
        <item x="15"/>
        <item x="16"/>
        <item x="17"/>
        <item x="18"/>
        <item x="19"/>
        <item x="20"/>
        <item x="21"/>
        <item m="1" x="97"/>
        <item x="22"/>
        <item x="23"/>
        <item x="25"/>
        <item x="26"/>
        <item x="27"/>
        <item x="28"/>
        <item x="29"/>
        <item x="30"/>
        <item x="31"/>
        <item m="1" x="98"/>
        <item x="32"/>
        <item x="33"/>
        <item x="34"/>
        <item x="35"/>
        <item x="36"/>
        <item x="37"/>
        <item x="38"/>
        <item x="39"/>
        <item x="40"/>
        <item x="41"/>
        <item x="42"/>
        <item x="43"/>
        <item x="44"/>
        <item x="45"/>
        <item x="46"/>
        <item x="47"/>
        <item x="48"/>
        <item m="1" x="99"/>
        <item x="49"/>
        <item x="50"/>
        <item x="51"/>
        <item x="52"/>
        <item x="53"/>
        <item x="54"/>
        <item x="55"/>
        <item x="56"/>
        <item x="57"/>
        <item x="58"/>
        <item x="59"/>
        <item x="60"/>
        <item x="61"/>
        <item x="62"/>
        <item x="63"/>
        <item x="64"/>
        <item x="2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items count="26">
        <item x="24"/>
        <item x="21"/>
        <item x="17"/>
        <item x="22"/>
        <item x="23"/>
        <item x="10"/>
        <item x="19"/>
        <item x="20"/>
        <item x="16"/>
        <item x="6"/>
        <item x="5"/>
        <item x="13"/>
        <item x="15"/>
        <item x="9"/>
        <item x="1"/>
        <item x="11"/>
        <item x="8"/>
        <item x="3"/>
        <item x="2"/>
        <item x="12"/>
        <item x="14"/>
        <item x="0"/>
        <item x="4"/>
        <item x="7"/>
        <item x="18"/>
        <item t="default"/>
      </items>
    </pivotField>
    <pivotField showAll="0"/>
    <pivotField showAll="0"/>
    <pivotField showAll="0"/>
    <pivotField showAll="0"/>
  </pivotFields>
  <rowFields count="1">
    <field x="2"/>
  </rowFields>
  <rowItems count="98">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Number of reviews" fld="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B1EBD6-389E-6C41-ACEC-5C500444A85E}" name="PivotTable" cacheId="20"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3" rowHeaderCaption="Brand Name">
  <location ref="A1:B99" firstHeaderRow="1" firstDataRow="1" firstDataCol="1"/>
  <pivotFields count="11">
    <pivotField showAll="0"/>
    <pivotField showAll="0"/>
    <pivotField axis="axisRow" dataField="1" showAll="0">
      <items count="101">
        <item x="0"/>
        <item x="1"/>
        <item x="2"/>
        <item x="3"/>
        <item x="4"/>
        <item x="5"/>
        <item x="6"/>
        <item x="7"/>
        <item x="8"/>
        <item x="9"/>
        <item x="10"/>
        <item x="11"/>
        <item x="12"/>
        <item x="13"/>
        <item x="14"/>
        <item x="15"/>
        <item x="16"/>
        <item x="17"/>
        <item x="18"/>
        <item x="19"/>
        <item x="20"/>
        <item x="21"/>
        <item m="1" x="97"/>
        <item x="22"/>
        <item x="23"/>
        <item x="25"/>
        <item x="26"/>
        <item x="27"/>
        <item x="28"/>
        <item x="29"/>
        <item x="30"/>
        <item x="31"/>
        <item m="1" x="98"/>
        <item x="32"/>
        <item x="33"/>
        <item x="34"/>
        <item x="35"/>
        <item x="36"/>
        <item x="37"/>
        <item x="38"/>
        <item x="39"/>
        <item x="40"/>
        <item x="41"/>
        <item x="42"/>
        <item x="43"/>
        <item x="44"/>
        <item x="45"/>
        <item x="46"/>
        <item x="47"/>
        <item x="48"/>
        <item m="1" x="99"/>
        <item x="49"/>
        <item x="50"/>
        <item x="51"/>
        <item x="52"/>
        <item x="53"/>
        <item x="54"/>
        <item x="55"/>
        <item x="56"/>
        <item x="57"/>
        <item x="58"/>
        <item x="59"/>
        <item x="60"/>
        <item x="61"/>
        <item x="62"/>
        <item x="63"/>
        <item x="64"/>
        <item x="2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pivotField showAll="0"/>
    <pivotField showAll="0"/>
    <pivotField showAll="0"/>
  </pivotFields>
  <rowFields count="1">
    <field x="2"/>
  </rowFields>
  <rowItems count="98">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Brand" fld="2" subtotal="count" baseField="0" baseItem="0"/>
  </dataFields>
  <formats count="10">
    <format dxfId="22">
      <pivotArea field="2" type="button" dataOnly="0" labelOnly="1" outline="0" axis="axisRow" fieldPosition="0"/>
    </format>
    <format dxfId="21">
      <pivotArea dataOnly="0" labelOnly="1" outline="0" axis="axisValues" fieldPosition="0"/>
    </format>
    <format dxfId="20">
      <pivotArea field="2" type="button" dataOnly="0" labelOnly="1" outline="0" axis="axisRow" fieldPosition="0"/>
    </format>
    <format dxfId="19">
      <pivotArea dataOnly="0" labelOnly="1" outline="0" axis="axisValues" fieldPosition="0"/>
    </format>
    <format dxfId="18">
      <pivotArea field="2"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 dxfId="14">
      <pivotArea grandRow="1" outline="0" collapsedLevelsAreSubtotals="1" fieldPosition="0"/>
    </format>
    <format dxfId="13">
      <pivotArea dataOnly="0" labelOnly="1" grandRow="1" outline="0"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235FF0E-DA71-4ECA-AFC6-ABA51E8CB84F}" autoFormatId="16" applyNumberFormats="0" applyBorderFormats="0" applyFontFormats="0" applyPatternFormats="0" applyAlignmentFormats="0" applyWidthHeightFormats="0">
  <queryTableRefresh nextId="9">
    <queryTableFields count="8">
      <queryTableField id="1" name="ASIN" tableColumnId="1"/>
      <queryTableField id="2" name="Brand" tableColumnId="2"/>
      <queryTableField id="3" name="Price (£)" tableColumnId="3"/>
      <queryTableField id="4" name="Capacity (litres)" tableColumnId="4"/>
      <queryTableField id="5" name="Pump pressure (bar)" tableColumnId="5"/>
      <queryTableField id="6" name="Weight (kg)" tableColumnId="6"/>
      <queryTableField id="7" name="Reviews" tableColumnId="7"/>
      <queryTableField id="8" name="Special feature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C624EBC-D7FD-48A2-B3A9-DD095A468548}" autoFormatId="16" applyNumberFormats="0" applyBorderFormats="0" applyFontFormats="0" applyPatternFormats="0" applyAlignmentFormats="0" applyWidthHeightFormats="0">
  <queryTableRefresh nextId="9">
    <queryTableFields count="8">
      <queryTableField id="1" name="ASIN" tableColumnId="1"/>
      <queryTableField id="2" name="Table 17.Brand" tableColumnId="2"/>
      <queryTableField id="3" name="Table 17.Price (£)" tableColumnId="3"/>
      <queryTableField id="4" name="Table 17.Capacity (litres)" tableColumnId="4"/>
      <queryTableField id="5" name="Table 17.Pump pressure (bar)" tableColumnId="5"/>
      <queryTableField id="6" name="Table 17.Weight (kg)" tableColumnId="6"/>
      <queryTableField id="7" name="Table 17.Reviews" tableColumnId="7"/>
      <queryTableField id="8" name="Table 17.Special feature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5CCEAAF-666B-4404-AEAD-6CC038966C68}" autoFormatId="16" applyNumberFormats="0" applyBorderFormats="0" applyFontFormats="0" applyPatternFormats="0" applyAlignmentFormats="0" applyWidthHeightFormats="0">
  <queryTableRefresh nextId="20">
    <queryTableFields count="11">
      <queryTableField id="1" name="ASIN" tableColumnId="1"/>
      <queryTableField id="18" dataBound="0" tableColumnId="18"/>
      <queryTableField id="2" name="Table 17.Brand" tableColumnId="2"/>
      <queryTableField id="3" name="Table 17.Price (£)" tableColumnId="3"/>
      <queryTableField id="11" dataBound="0" tableColumnId="11"/>
      <queryTableField id="13" dataBound="0" tableColumnId="13"/>
      <queryTableField id="7" name="Table 17.Reviews" tableColumnId="7"/>
      <queryTableField id="14" dataBound="0" tableColumnId="14"/>
      <queryTableField id="15" dataBound="0" tableColumnId="15"/>
      <queryTableField id="16" dataBound="0" tableColumnId="16"/>
      <queryTableField id="8" name="Table 17.Special features" tableColumnId="8"/>
    </queryTableFields>
    <queryTableDeletedFields count="3">
      <deletedField name="Table 17.Pump pressure (bar)"/>
      <deletedField name="Table 17.Capacity (litres)"/>
      <deletedField name="Table 17.Weight (kg)"/>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1806AD-A47D-487F-A17B-18F7FF9BE9AE}" name="Table2" displayName="Table2" ref="A1:A303" totalsRowShown="0" headerRowDxfId="33" dataDxfId="32">
  <autoFilter ref="A1:A303" xr:uid="{A91806AD-A47D-487F-A17B-18F7FF9BE9AE}"/>
  <tableColumns count="1">
    <tableColumn id="1" xr3:uid="{868626F2-D51B-4464-8C61-A8CCB719B578}" name="ASIN" dataDxfId="3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2AC82E-0D1E-4F07-A87D-B962EB2933DC}" name="Invoked_Function" displayName="Invoked_Function" ref="A1:H2" tableType="queryTable" totalsRowShown="0">
  <autoFilter ref="A1:H2" xr:uid="{D02AC82E-0D1E-4F07-A87D-B962EB2933DC}"/>
  <tableColumns count="8">
    <tableColumn id="1" xr3:uid="{057611B3-63A8-43C5-AA66-F457C0EEC1E5}" uniqueName="1" name="ASIN" queryTableFieldId="1" dataDxfId="30"/>
    <tableColumn id="2" xr3:uid="{E580B1B9-981E-4D1C-B1C7-F4E13A561915}" uniqueName="2" name="Brand" queryTableFieldId="2" dataDxfId="29"/>
    <tableColumn id="3" xr3:uid="{B3ECE9F4-E77A-440A-AB6C-9CCE448DC1B4}" uniqueName="3" name="Price (£)" queryTableFieldId="3"/>
    <tableColumn id="4" xr3:uid="{53C04DBF-5796-4263-BCB8-90A13A9A5FC9}" uniqueName="4" name="Capacity (litres)" queryTableFieldId="4" dataDxfId="28"/>
    <tableColumn id="5" xr3:uid="{EABCF26E-6BB2-4075-AFA9-1C9B20D21682}" uniqueName="5" name="Pump pressure (bar)" queryTableFieldId="5" dataDxfId="27"/>
    <tableColumn id="6" xr3:uid="{BEE88DD4-6F69-4E5C-89BA-BCC94E7449B8}" uniqueName="6" name="Weight (kg)" queryTableFieldId="6" dataDxfId="26"/>
    <tableColumn id="7" xr3:uid="{BB03B251-7569-46F9-BC07-0409B1A0B894}" uniqueName="7" name="Reviews" queryTableFieldId="7" dataDxfId="25"/>
    <tableColumn id="8" xr3:uid="{0D77F87C-546C-47E6-AD28-FF42D8297121}" uniqueName="8" name="Special features" queryTableFieldId="8" dataDxfId="2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4C7EF-2D26-4974-AD6D-8F8B23735A6E}" name="Automation" displayName="Automation" ref="A1:H303" tableType="queryTable" totalsRowShown="0">
  <autoFilter ref="A1:H303" xr:uid="{44C4C7EF-2D26-4974-AD6D-8F8B23735A6E}"/>
  <sortState xmlns:xlrd2="http://schemas.microsoft.com/office/spreadsheetml/2017/richdata2" ref="A2:H133">
    <sortCondition ref="F1:F303"/>
  </sortState>
  <tableColumns count="8">
    <tableColumn id="1" xr3:uid="{893896A4-76E1-425C-B9DB-EFA39AF23381}" uniqueName="1" name="ASIN" queryTableFieldId="1" dataDxfId="23"/>
    <tableColumn id="2" xr3:uid="{A4EEB487-67CE-42CC-B272-E1AA3A09E59F}" uniqueName="2" name="Table 17.Brand" queryTableFieldId="2"/>
    <tableColumn id="3" xr3:uid="{4B29BF1C-EEFD-4808-A36D-B7AFA9B72AB6}" uniqueName="3" name="Table 17.Price (£)" queryTableFieldId="3"/>
    <tableColumn id="4" xr3:uid="{3734470B-6916-441C-82EB-8EF9ED0EF0EF}" uniqueName="4" name="Table 17.Capacity (litres)" queryTableFieldId="4"/>
    <tableColumn id="5" xr3:uid="{C35CAD61-06E4-487C-B872-63E44C7411D8}" uniqueName="5" name="Table 17.Pump pressure (bar)" queryTableFieldId="5"/>
    <tableColumn id="6" xr3:uid="{22840EE4-745A-4896-BBFF-9E8A2E06A1D3}" uniqueName="6" name="Table 17.Weight (kg)" queryTableFieldId="6"/>
    <tableColumn id="7" xr3:uid="{02B04BF0-2CB3-46E0-8FA3-BAE4B45B6B57}" uniqueName="7" name="Table 17.Reviews" queryTableFieldId="7"/>
    <tableColumn id="8" xr3:uid="{6136AC07-BF87-41D8-928F-B2EF18595F3B}" uniqueName="8" name="Table 17.Special features" queryTableFieldId="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C12FE7-8E22-471C-81DA-2020C8ECA726}" name="AutomationFilter" displayName="AutomationFilter" ref="A1:K184" tableType="queryTable" totalsRowShown="0" headerRowDxfId="1" dataDxfId="0">
  <autoFilter ref="A1:K184" xr:uid="{32C12FE7-8E22-471C-81DA-2020C8ECA726}"/>
  <sortState xmlns:xlrd2="http://schemas.microsoft.com/office/spreadsheetml/2017/richdata2" ref="A2:K184">
    <sortCondition descending="1" ref="B1:B184"/>
  </sortState>
  <tableColumns count="11">
    <tableColumn id="1" xr3:uid="{D3DBB8BE-0D3D-431A-A4E8-4EBA24021866}" uniqueName="1" name="ASIN" queryTableFieldId="1" dataDxfId="12" totalsRowDxfId="36"/>
    <tableColumn id="18" xr3:uid="{0A3F1503-09B3-8D46-A27D-FEA88C7A4727}" uniqueName="18" name="Count of reviews" queryTableFieldId="18" dataDxfId="11" totalsRowDxfId="35"/>
    <tableColumn id="2" xr3:uid="{40A80FA0-38B8-4201-8998-A8E7FFEB5F48}" uniqueName="2" name="Brand" queryTableFieldId="2" dataDxfId="10"/>
    <tableColumn id="3" xr3:uid="{92FDC6F1-A67B-424D-A142-31A70F1CC262}" uniqueName="3" name="Price (£)" queryTableFieldId="3" dataDxfId="9"/>
    <tableColumn id="11" xr3:uid="{7CB719EE-6ADB-084D-A75C-24E4A8624ECF}" uniqueName="11" name="Capacity (litres)" queryTableFieldId="11" dataDxfId="8" totalsRowDxfId="34"/>
    <tableColumn id="13" xr3:uid="{141F242B-5144-7B4D-9672-1EEC7EA76E25}" uniqueName="13" name="Weight (kg)" queryTableFieldId="13" dataDxfId="7"/>
    <tableColumn id="7" xr3:uid="{71C6DD38-BFC6-4129-BA38-07E1030A2DAD}" uniqueName="7" name="Reviews (Out of 5)" queryTableFieldId="7" dataDxfId="6"/>
    <tableColumn id="14" xr3:uid="{8379F101-DFB7-9540-A03F-2DC57F2D3DE5}" uniqueName="14" name="Milk frother" queryTableFieldId="14" dataDxfId="5">
      <calculatedColumnFormula>IF(OR(ISNUMBER(SEARCH("froth",K2)), ISNUMBER(SEARCH("wand",K2)), ISNUMBER(SEARCH("carafe",K2))), 1, 0)</calculatedColumnFormula>
    </tableColumn>
    <tableColumn id="15" xr3:uid="{901D9DE3-34E6-8749-B913-B9B06E3B96D2}" uniqueName="15" name="Grinder" queryTableFieldId="15" dataDxfId="4">
      <calculatedColumnFormula>IF(ISNUMBER(SEARCH("grind", K2)), 1, 0)</calculatedColumnFormula>
    </tableColumn>
    <tableColumn id="16" xr3:uid="{289BF718-E3D0-1942-919C-8A21223A489B}" uniqueName="16" name="Manual" queryTableFieldId="16" dataDxfId="3">
      <calculatedColumnFormula>IF(OR(ISNUMBER(SEARCH("manual", K2)), ISNUMBER(SEARCH("lever", K2)), ISNUMBER(SEARCH("stovetop", K2))), 1, 0)</calculatedColumnFormula>
    </tableColumn>
    <tableColumn id="8" xr3:uid="{A5516238-C6FC-43C2-88D8-95269471EBE9}" uniqueName="8" name="Special features" queryTableFieldId="8"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4563-A01E-416C-8399-3A7C887F5B9F}">
  <sheetPr codeName="Sheet6"/>
  <dimension ref="A1:B303"/>
  <sheetViews>
    <sheetView workbookViewId="0">
      <selection activeCell="B49" sqref="B49"/>
    </sheetView>
  </sheetViews>
  <sheetFormatPr baseColWidth="10" defaultColWidth="9" defaultRowHeight="15" x14ac:dyDescent="0.2"/>
  <cols>
    <col min="1" max="1" width="15.33203125" bestFit="1" customWidth="1"/>
    <col min="2" max="2" width="255.83203125" bestFit="1" customWidth="1"/>
  </cols>
  <sheetData>
    <row r="1" spans="1:2" x14ac:dyDescent="0.2">
      <c r="A1" t="s">
        <v>0</v>
      </c>
      <c r="B1" s="3" t="s">
        <v>1097</v>
      </c>
    </row>
    <row r="2" spans="1:2" x14ac:dyDescent="0.2">
      <c r="A2" t="s">
        <v>1</v>
      </c>
      <c r="B2" s="2" t="s">
        <v>2</v>
      </c>
    </row>
    <row r="3" spans="1:2" x14ac:dyDescent="0.2">
      <c r="A3" t="s">
        <v>3</v>
      </c>
      <c r="B3" s="2" t="s">
        <v>4</v>
      </c>
    </row>
    <row r="4" spans="1:2" x14ac:dyDescent="0.2">
      <c r="A4" t="s">
        <v>5</v>
      </c>
      <c r="B4" s="2" t="s">
        <v>6</v>
      </c>
    </row>
    <row r="5" spans="1:2" x14ac:dyDescent="0.2">
      <c r="A5" t="s">
        <v>7</v>
      </c>
      <c r="B5" s="2" t="s">
        <v>8</v>
      </c>
    </row>
    <row r="6" spans="1:2" x14ac:dyDescent="0.2">
      <c r="A6" t="s">
        <v>9</v>
      </c>
      <c r="B6" s="2" t="s">
        <v>10</v>
      </c>
    </row>
    <row r="7" spans="1:2" x14ac:dyDescent="0.2">
      <c r="A7" t="s">
        <v>11</v>
      </c>
      <c r="B7" s="2" t="s">
        <v>12</v>
      </c>
    </row>
    <row r="8" spans="1:2" x14ac:dyDescent="0.2">
      <c r="A8" t="s">
        <v>13</v>
      </c>
      <c r="B8" s="2" t="s">
        <v>1057</v>
      </c>
    </row>
    <row r="9" spans="1:2" x14ac:dyDescent="0.2">
      <c r="A9" t="s">
        <v>14</v>
      </c>
      <c r="B9" s="2" t="s">
        <v>602</v>
      </c>
    </row>
    <row r="10" spans="1:2" x14ac:dyDescent="0.2">
      <c r="A10" t="s">
        <v>15</v>
      </c>
      <c r="B10" s="2" t="s">
        <v>16</v>
      </c>
    </row>
    <row r="11" spans="1:2" x14ac:dyDescent="0.2">
      <c r="A11" t="s">
        <v>17</v>
      </c>
      <c r="B11" s="2" t="s">
        <v>18</v>
      </c>
    </row>
    <row r="12" spans="1:2" x14ac:dyDescent="0.2">
      <c r="A12" t="s">
        <v>19</v>
      </c>
      <c r="B12" s="2" t="s">
        <v>20</v>
      </c>
    </row>
    <row r="13" spans="1:2" x14ac:dyDescent="0.2">
      <c r="A13" t="s">
        <v>21</v>
      </c>
      <c r="B13" s="2" t="s">
        <v>22</v>
      </c>
    </row>
    <row r="14" spans="1:2" x14ac:dyDescent="0.2">
      <c r="A14" t="s">
        <v>23</v>
      </c>
      <c r="B14" s="2" t="s">
        <v>24</v>
      </c>
    </row>
    <row r="15" spans="1:2" x14ac:dyDescent="0.2">
      <c r="A15" t="s">
        <v>25</v>
      </c>
      <c r="B15" s="2" t="s">
        <v>26</v>
      </c>
    </row>
    <row r="16" spans="1:2" x14ac:dyDescent="0.2">
      <c r="A16" t="s">
        <v>27</v>
      </c>
      <c r="B16" s="2" t="s">
        <v>28</v>
      </c>
    </row>
    <row r="17" spans="1:2" x14ac:dyDescent="0.2">
      <c r="A17" t="s">
        <v>29</v>
      </c>
      <c r="B17" s="2" t="s">
        <v>30</v>
      </c>
    </row>
    <row r="18" spans="1:2" x14ac:dyDescent="0.2">
      <c r="A18" t="s">
        <v>31</v>
      </c>
      <c r="B18" s="2" t="s">
        <v>32</v>
      </c>
    </row>
    <row r="19" spans="1:2" x14ac:dyDescent="0.2">
      <c r="A19" t="s">
        <v>33</v>
      </c>
      <c r="B19" s="2" t="s">
        <v>34</v>
      </c>
    </row>
    <row r="20" spans="1:2" x14ac:dyDescent="0.2">
      <c r="A20" t="s">
        <v>35</v>
      </c>
      <c r="B20" s="2" t="s">
        <v>36</v>
      </c>
    </row>
    <row r="21" spans="1:2" x14ac:dyDescent="0.2">
      <c r="A21" t="s">
        <v>37</v>
      </c>
      <c r="B21" s="2" t="s">
        <v>38</v>
      </c>
    </row>
    <row r="22" spans="1:2" x14ac:dyDescent="0.2">
      <c r="A22" t="s">
        <v>39</v>
      </c>
      <c r="B22" s="2" t="s">
        <v>40</v>
      </c>
    </row>
    <row r="23" spans="1:2" x14ac:dyDescent="0.2">
      <c r="A23" t="s">
        <v>41</v>
      </c>
      <c r="B23" s="2" t="s">
        <v>42</v>
      </c>
    </row>
    <row r="24" spans="1:2" x14ac:dyDescent="0.2">
      <c r="A24" t="s">
        <v>43</v>
      </c>
      <c r="B24" s="2" t="s">
        <v>44</v>
      </c>
    </row>
    <row r="25" spans="1:2" x14ac:dyDescent="0.2">
      <c r="A25" t="s">
        <v>45</v>
      </c>
      <c r="B25" s="2" t="s">
        <v>46</v>
      </c>
    </row>
    <row r="26" spans="1:2" x14ac:dyDescent="0.2">
      <c r="A26" t="s">
        <v>47</v>
      </c>
      <c r="B26" s="2" t="s">
        <v>48</v>
      </c>
    </row>
    <row r="27" spans="1:2" x14ac:dyDescent="0.2">
      <c r="A27" t="s">
        <v>49</v>
      </c>
      <c r="B27" s="2" t="s">
        <v>50</v>
      </c>
    </row>
    <row r="28" spans="1:2" x14ac:dyDescent="0.2">
      <c r="A28" t="s">
        <v>51</v>
      </c>
      <c r="B28" s="2" t="s">
        <v>52</v>
      </c>
    </row>
    <row r="29" spans="1:2" x14ac:dyDescent="0.2">
      <c r="A29" t="s">
        <v>53</v>
      </c>
      <c r="B29" s="2" t="s">
        <v>54</v>
      </c>
    </row>
    <row r="30" spans="1:2" x14ac:dyDescent="0.2">
      <c r="A30" t="s">
        <v>55</v>
      </c>
      <c r="B30" s="2" t="s">
        <v>56</v>
      </c>
    </row>
    <row r="31" spans="1:2" x14ac:dyDescent="0.2">
      <c r="A31" t="s">
        <v>57</v>
      </c>
      <c r="B31" s="2" t="s">
        <v>58</v>
      </c>
    </row>
    <row r="32" spans="1:2" x14ac:dyDescent="0.2">
      <c r="A32" t="s">
        <v>59</v>
      </c>
      <c r="B32" s="2" t="s">
        <v>60</v>
      </c>
    </row>
    <row r="33" spans="1:2" x14ac:dyDescent="0.2">
      <c r="A33" t="s">
        <v>61</v>
      </c>
      <c r="B33" s="2" t="s">
        <v>62</v>
      </c>
    </row>
    <row r="34" spans="1:2" x14ac:dyDescent="0.2">
      <c r="A34" t="s">
        <v>63</v>
      </c>
      <c r="B34" s="2" t="s">
        <v>64</v>
      </c>
    </row>
    <row r="35" spans="1:2" x14ac:dyDescent="0.2">
      <c r="A35" t="s">
        <v>65</v>
      </c>
      <c r="B35" s="2" t="s">
        <v>66</v>
      </c>
    </row>
    <row r="36" spans="1:2" x14ac:dyDescent="0.2">
      <c r="A36" t="s">
        <v>67</v>
      </c>
      <c r="B36" s="2" t="s">
        <v>68</v>
      </c>
    </row>
    <row r="37" spans="1:2" x14ac:dyDescent="0.2">
      <c r="A37" t="s">
        <v>69</v>
      </c>
      <c r="B37" s="2" t="s">
        <v>70</v>
      </c>
    </row>
    <row r="38" spans="1:2" x14ac:dyDescent="0.2">
      <c r="A38" t="s">
        <v>71</v>
      </c>
      <c r="B38" s="2" t="s">
        <v>72</v>
      </c>
    </row>
    <row r="39" spans="1:2" x14ac:dyDescent="0.2">
      <c r="A39" t="s">
        <v>73</v>
      </c>
      <c r="B39" s="2" t="s">
        <v>74</v>
      </c>
    </row>
    <row r="40" spans="1:2" x14ac:dyDescent="0.2">
      <c r="A40" t="s">
        <v>75</v>
      </c>
      <c r="B40" s="2" t="s">
        <v>76</v>
      </c>
    </row>
    <row r="41" spans="1:2" x14ac:dyDescent="0.2">
      <c r="A41" t="s">
        <v>77</v>
      </c>
      <c r="B41" s="2" t="s">
        <v>78</v>
      </c>
    </row>
    <row r="42" spans="1:2" x14ac:dyDescent="0.2">
      <c r="A42" t="s">
        <v>79</v>
      </c>
      <c r="B42" s="2" t="s">
        <v>80</v>
      </c>
    </row>
    <row r="43" spans="1:2" x14ac:dyDescent="0.2">
      <c r="A43" t="s">
        <v>81</v>
      </c>
      <c r="B43" s="2" t="s">
        <v>82</v>
      </c>
    </row>
    <row r="44" spans="1:2" x14ac:dyDescent="0.2">
      <c r="A44" t="s">
        <v>83</v>
      </c>
      <c r="B44" s="2" t="s">
        <v>84</v>
      </c>
    </row>
    <row r="45" spans="1:2" x14ac:dyDescent="0.2">
      <c r="A45" t="s">
        <v>85</v>
      </c>
      <c r="B45" s="2" t="s">
        <v>86</v>
      </c>
    </row>
    <row r="46" spans="1:2" x14ac:dyDescent="0.2">
      <c r="A46" t="s">
        <v>87</v>
      </c>
      <c r="B46" s="2" t="s">
        <v>88</v>
      </c>
    </row>
    <row r="47" spans="1:2" x14ac:dyDescent="0.2">
      <c r="A47" t="s">
        <v>89</v>
      </c>
      <c r="B47" s="2" t="s">
        <v>90</v>
      </c>
    </row>
    <row r="48" spans="1:2" x14ac:dyDescent="0.2">
      <c r="A48" t="s">
        <v>91</v>
      </c>
      <c r="B48" s="2" t="s">
        <v>92</v>
      </c>
    </row>
    <row r="49" spans="1:2" x14ac:dyDescent="0.2">
      <c r="A49" t="s">
        <v>93</v>
      </c>
      <c r="B49" s="2" t="s">
        <v>94</v>
      </c>
    </row>
    <row r="50" spans="1:2" x14ac:dyDescent="0.2">
      <c r="A50" t="s">
        <v>95</v>
      </c>
      <c r="B50" s="2" t="s">
        <v>96</v>
      </c>
    </row>
    <row r="51" spans="1:2" x14ac:dyDescent="0.2">
      <c r="A51" t="s">
        <v>97</v>
      </c>
      <c r="B51" s="2" t="s">
        <v>98</v>
      </c>
    </row>
    <row r="52" spans="1:2" x14ac:dyDescent="0.2">
      <c r="A52" t="s">
        <v>99</v>
      </c>
      <c r="B52" s="2" t="s">
        <v>100</v>
      </c>
    </row>
    <row r="53" spans="1:2" x14ac:dyDescent="0.2">
      <c r="A53" t="s">
        <v>101</v>
      </c>
      <c r="B53" s="2" t="s">
        <v>102</v>
      </c>
    </row>
    <row r="54" spans="1:2" x14ac:dyDescent="0.2">
      <c r="A54" t="s">
        <v>103</v>
      </c>
      <c r="B54" s="2" t="s">
        <v>104</v>
      </c>
    </row>
    <row r="55" spans="1:2" x14ac:dyDescent="0.2">
      <c r="A55" t="s">
        <v>105</v>
      </c>
      <c r="B55" s="2" t="s">
        <v>106</v>
      </c>
    </row>
    <row r="56" spans="1:2" x14ac:dyDescent="0.2">
      <c r="A56" t="s">
        <v>107</v>
      </c>
      <c r="B56" s="2" t="s">
        <v>108</v>
      </c>
    </row>
    <row r="57" spans="1:2" x14ac:dyDescent="0.2">
      <c r="A57" t="s">
        <v>109</v>
      </c>
      <c r="B57" s="2" t="s">
        <v>110</v>
      </c>
    </row>
    <row r="58" spans="1:2" x14ac:dyDescent="0.2">
      <c r="A58" t="s">
        <v>111</v>
      </c>
      <c r="B58" s="2" t="s">
        <v>112</v>
      </c>
    </row>
    <row r="59" spans="1:2" x14ac:dyDescent="0.2">
      <c r="A59" t="s">
        <v>113</v>
      </c>
      <c r="B59" s="2" t="s">
        <v>114</v>
      </c>
    </row>
    <row r="60" spans="1:2" x14ac:dyDescent="0.2">
      <c r="A60" t="s">
        <v>115</v>
      </c>
      <c r="B60" s="2" t="s">
        <v>116</v>
      </c>
    </row>
    <row r="61" spans="1:2" x14ac:dyDescent="0.2">
      <c r="A61" t="s">
        <v>117</v>
      </c>
      <c r="B61" s="2" t="s">
        <v>118</v>
      </c>
    </row>
    <row r="62" spans="1:2" x14ac:dyDescent="0.2">
      <c r="A62" t="s">
        <v>119</v>
      </c>
      <c r="B62" s="2" t="s">
        <v>120</v>
      </c>
    </row>
    <row r="63" spans="1:2" x14ac:dyDescent="0.2">
      <c r="A63" t="s">
        <v>121</v>
      </c>
      <c r="B63" s="2" t="s">
        <v>122</v>
      </c>
    </row>
    <row r="64" spans="1:2" x14ac:dyDescent="0.2">
      <c r="A64" t="s">
        <v>123</v>
      </c>
      <c r="B64" s="2" t="s">
        <v>124</v>
      </c>
    </row>
    <row r="65" spans="1:2" x14ac:dyDescent="0.2">
      <c r="A65" t="s">
        <v>125</v>
      </c>
      <c r="B65" s="2" t="s">
        <v>126</v>
      </c>
    </row>
    <row r="66" spans="1:2" x14ac:dyDescent="0.2">
      <c r="A66" t="s">
        <v>127</v>
      </c>
      <c r="B66" s="2" t="s">
        <v>128</v>
      </c>
    </row>
    <row r="67" spans="1:2" x14ac:dyDescent="0.2">
      <c r="A67" t="s">
        <v>129</v>
      </c>
      <c r="B67" s="2" t="s">
        <v>130</v>
      </c>
    </row>
    <row r="68" spans="1:2" x14ac:dyDescent="0.2">
      <c r="A68" t="s">
        <v>131</v>
      </c>
      <c r="B68" s="2" t="s">
        <v>132</v>
      </c>
    </row>
    <row r="69" spans="1:2" x14ac:dyDescent="0.2">
      <c r="A69" t="s">
        <v>133</v>
      </c>
      <c r="B69" s="2" t="s">
        <v>134</v>
      </c>
    </row>
    <row r="70" spans="1:2" x14ac:dyDescent="0.2">
      <c r="A70" t="s">
        <v>135</v>
      </c>
      <c r="B70" s="2" t="s">
        <v>136</v>
      </c>
    </row>
    <row r="71" spans="1:2" x14ac:dyDescent="0.2">
      <c r="A71" t="s">
        <v>137</v>
      </c>
      <c r="B71" s="2" t="s">
        <v>138</v>
      </c>
    </row>
    <row r="72" spans="1:2" x14ac:dyDescent="0.2">
      <c r="A72" t="s">
        <v>139</v>
      </c>
      <c r="B72" s="2" t="s">
        <v>140</v>
      </c>
    </row>
    <row r="73" spans="1:2" x14ac:dyDescent="0.2">
      <c r="A73" t="s">
        <v>141</v>
      </c>
      <c r="B73" s="2" t="s">
        <v>142</v>
      </c>
    </row>
    <row r="74" spans="1:2" x14ac:dyDescent="0.2">
      <c r="A74" t="s">
        <v>143</v>
      </c>
      <c r="B74" s="2" t="s">
        <v>144</v>
      </c>
    </row>
    <row r="75" spans="1:2" x14ac:dyDescent="0.2">
      <c r="A75" t="s">
        <v>145</v>
      </c>
      <c r="B75" s="2" t="s">
        <v>146</v>
      </c>
    </row>
    <row r="76" spans="1:2" x14ac:dyDescent="0.2">
      <c r="A76" t="s">
        <v>147</v>
      </c>
      <c r="B76" s="2" t="s">
        <v>148</v>
      </c>
    </row>
    <row r="77" spans="1:2" x14ac:dyDescent="0.2">
      <c r="A77" t="s">
        <v>149</v>
      </c>
      <c r="B77" s="2" t="s">
        <v>150</v>
      </c>
    </row>
    <row r="78" spans="1:2" x14ac:dyDescent="0.2">
      <c r="A78" t="s">
        <v>151</v>
      </c>
      <c r="B78" s="2" t="s">
        <v>152</v>
      </c>
    </row>
    <row r="79" spans="1:2" x14ac:dyDescent="0.2">
      <c r="A79" t="s">
        <v>153</v>
      </c>
      <c r="B79" s="2" t="s">
        <v>154</v>
      </c>
    </row>
    <row r="80" spans="1:2" x14ac:dyDescent="0.2">
      <c r="A80" t="s">
        <v>155</v>
      </c>
      <c r="B80" s="2" t="s">
        <v>156</v>
      </c>
    </row>
    <row r="81" spans="1:2" x14ac:dyDescent="0.2">
      <c r="A81" t="s">
        <v>157</v>
      </c>
      <c r="B81" s="2" t="s">
        <v>158</v>
      </c>
    </row>
    <row r="82" spans="1:2" x14ac:dyDescent="0.2">
      <c r="A82" t="s">
        <v>159</v>
      </c>
      <c r="B82" s="2" t="s">
        <v>160</v>
      </c>
    </row>
    <row r="83" spans="1:2" x14ac:dyDescent="0.2">
      <c r="A83" t="s">
        <v>161</v>
      </c>
      <c r="B83" s="2" t="s">
        <v>162</v>
      </c>
    </row>
    <row r="84" spans="1:2" x14ac:dyDescent="0.2">
      <c r="A84" t="s">
        <v>163</v>
      </c>
      <c r="B84" s="2" t="s">
        <v>164</v>
      </c>
    </row>
    <row r="85" spans="1:2" x14ac:dyDescent="0.2">
      <c r="A85" t="s">
        <v>165</v>
      </c>
      <c r="B85" s="2" t="s">
        <v>166</v>
      </c>
    </row>
    <row r="86" spans="1:2" x14ac:dyDescent="0.2">
      <c r="A86" t="s">
        <v>167</v>
      </c>
      <c r="B86" s="2" t="s">
        <v>168</v>
      </c>
    </row>
    <row r="87" spans="1:2" x14ac:dyDescent="0.2">
      <c r="A87" t="s">
        <v>169</v>
      </c>
      <c r="B87" s="2" t="s">
        <v>170</v>
      </c>
    </row>
    <row r="88" spans="1:2" x14ac:dyDescent="0.2">
      <c r="A88" t="s">
        <v>171</v>
      </c>
      <c r="B88" s="2" t="s">
        <v>172</v>
      </c>
    </row>
    <row r="89" spans="1:2" x14ac:dyDescent="0.2">
      <c r="A89" t="s">
        <v>173</v>
      </c>
      <c r="B89" s="2" t="s">
        <v>174</v>
      </c>
    </row>
    <row r="90" spans="1:2" x14ac:dyDescent="0.2">
      <c r="A90" t="s">
        <v>175</v>
      </c>
      <c r="B90" s="2" t="s">
        <v>176</v>
      </c>
    </row>
    <row r="91" spans="1:2" x14ac:dyDescent="0.2">
      <c r="A91" t="s">
        <v>177</v>
      </c>
      <c r="B91" s="2" t="s">
        <v>178</v>
      </c>
    </row>
    <row r="92" spans="1:2" x14ac:dyDescent="0.2">
      <c r="A92" t="s">
        <v>179</v>
      </c>
      <c r="B92" s="2" t="s">
        <v>180</v>
      </c>
    </row>
    <row r="93" spans="1:2" x14ac:dyDescent="0.2">
      <c r="A93" t="s">
        <v>181</v>
      </c>
      <c r="B93" s="2" t="s">
        <v>182</v>
      </c>
    </row>
    <row r="94" spans="1:2" x14ac:dyDescent="0.2">
      <c r="A94" t="s">
        <v>183</v>
      </c>
      <c r="B94" s="2" t="s">
        <v>184</v>
      </c>
    </row>
    <row r="95" spans="1:2" x14ac:dyDescent="0.2">
      <c r="A95" t="s">
        <v>185</v>
      </c>
      <c r="B95" s="2" t="s">
        <v>186</v>
      </c>
    </row>
    <row r="96" spans="1:2" x14ac:dyDescent="0.2">
      <c r="A96" t="s">
        <v>187</v>
      </c>
      <c r="B96" s="2" t="s">
        <v>188</v>
      </c>
    </row>
    <row r="97" spans="1:2" x14ac:dyDescent="0.2">
      <c r="A97" t="s">
        <v>189</v>
      </c>
      <c r="B97" s="2" t="s">
        <v>190</v>
      </c>
    </row>
    <row r="98" spans="1:2" x14ac:dyDescent="0.2">
      <c r="A98" t="s">
        <v>191</v>
      </c>
      <c r="B98" s="2" t="s">
        <v>192</v>
      </c>
    </row>
    <row r="99" spans="1:2" x14ac:dyDescent="0.2">
      <c r="A99" t="s">
        <v>193</v>
      </c>
      <c r="B99" s="2" t="s">
        <v>194</v>
      </c>
    </row>
    <row r="100" spans="1:2" x14ac:dyDescent="0.2">
      <c r="A100" t="s">
        <v>195</v>
      </c>
      <c r="B100" s="2" t="s">
        <v>196</v>
      </c>
    </row>
    <row r="101" spans="1:2" x14ac:dyDescent="0.2">
      <c r="A101" t="s">
        <v>197</v>
      </c>
      <c r="B101" s="2" t="s">
        <v>198</v>
      </c>
    </row>
    <row r="102" spans="1:2" x14ac:dyDescent="0.2">
      <c r="A102" t="s">
        <v>199</v>
      </c>
      <c r="B102" s="2" t="s">
        <v>200</v>
      </c>
    </row>
    <row r="103" spans="1:2" x14ac:dyDescent="0.2">
      <c r="A103" t="s">
        <v>201</v>
      </c>
      <c r="B103" s="2" t="s">
        <v>202</v>
      </c>
    </row>
    <row r="104" spans="1:2" x14ac:dyDescent="0.2">
      <c r="A104" t="s">
        <v>203</v>
      </c>
      <c r="B104" s="2" t="s">
        <v>204</v>
      </c>
    </row>
    <row r="105" spans="1:2" x14ac:dyDescent="0.2">
      <c r="A105" t="s">
        <v>205</v>
      </c>
      <c r="B105" s="2" t="s">
        <v>206</v>
      </c>
    </row>
    <row r="106" spans="1:2" x14ac:dyDescent="0.2">
      <c r="A106" t="s">
        <v>207</v>
      </c>
      <c r="B106" s="2" t="s">
        <v>208</v>
      </c>
    </row>
    <row r="107" spans="1:2" x14ac:dyDescent="0.2">
      <c r="A107" t="s">
        <v>209</v>
      </c>
      <c r="B107" s="2" t="s">
        <v>210</v>
      </c>
    </row>
    <row r="108" spans="1:2" x14ac:dyDescent="0.2">
      <c r="A108" t="s">
        <v>211</v>
      </c>
      <c r="B108" s="2" t="s">
        <v>212</v>
      </c>
    </row>
    <row r="109" spans="1:2" x14ac:dyDescent="0.2">
      <c r="A109" t="s">
        <v>213</v>
      </c>
      <c r="B109" s="2" t="s">
        <v>214</v>
      </c>
    </row>
    <row r="110" spans="1:2" x14ac:dyDescent="0.2">
      <c r="A110" t="s">
        <v>215</v>
      </c>
      <c r="B110" s="2" t="s">
        <v>216</v>
      </c>
    </row>
    <row r="111" spans="1:2" x14ac:dyDescent="0.2">
      <c r="A111" t="s">
        <v>217</v>
      </c>
      <c r="B111" s="2" t="s">
        <v>218</v>
      </c>
    </row>
    <row r="112" spans="1:2" x14ac:dyDescent="0.2">
      <c r="A112" t="s">
        <v>219</v>
      </c>
      <c r="B112" s="2" t="s">
        <v>220</v>
      </c>
    </row>
    <row r="113" spans="1:2" x14ac:dyDescent="0.2">
      <c r="A113" t="s">
        <v>221</v>
      </c>
      <c r="B113" s="2" t="s">
        <v>222</v>
      </c>
    </row>
    <row r="114" spans="1:2" x14ac:dyDescent="0.2">
      <c r="A114" t="s">
        <v>223</v>
      </c>
      <c r="B114" s="2" t="s">
        <v>224</v>
      </c>
    </row>
    <row r="115" spans="1:2" x14ac:dyDescent="0.2">
      <c r="A115" t="s">
        <v>225</v>
      </c>
      <c r="B115" s="2" t="s">
        <v>226</v>
      </c>
    </row>
    <row r="116" spans="1:2" x14ac:dyDescent="0.2">
      <c r="A116" t="s">
        <v>227</v>
      </c>
      <c r="B116" s="2" t="s">
        <v>228</v>
      </c>
    </row>
    <row r="117" spans="1:2" x14ac:dyDescent="0.2">
      <c r="A117" t="s">
        <v>229</v>
      </c>
      <c r="B117" s="2" t="s">
        <v>230</v>
      </c>
    </row>
    <row r="118" spans="1:2" x14ac:dyDescent="0.2">
      <c r="A118" t="s">
        <v>231</v>
      </c>
      <c r="B118" s="2" t="s">
        <v>232</v>
      </c>
    </row>
    <row r="119" spans="1:2" x14ac:dyDescent="0.2">
      <c r="A119" t="s">
        <v>233</v>
      </c>
      <c r="B119" s="2" t="s">
        <v>234</v>
      </c>
    </row>
    <row r="120" spans="1:2" x14ac:dyDescent="0.2">
      <c r="A120" t="s">
        <v>235</v>
      </c>
      <c r="B120" s="2" t="s">
        <v>236</v>
      </c>
    </row>
    <row r="121" spans="1:2" x14ac:dyDescent="0.2">
      <c r="A121" t="s">
        <v>237</v>
      </c>
      <c r="B121" s="2" t="s">
        <v>238</v>
      </c>
    </row>
    <row r="122" spans="1:2" x14ac:dyDescent="0.2">
      <c r="A122" t="s">
        <v>239</v>
      </c>
      <c r="B122" s="2" t="s">
        <v>240</v>
      </c>
    </row>
    <row r="123" spans="1:2" x14ac:dyDescent="0.2">
      <c r="A123" t="s">
        <v>241</v>
      </c>
      <c r="B123" s="2" t="s">
        <v>242</v>
      </c>
    </row>
    <row r="124" spans="1:2" x14ac:dyDescent="0.2">
      <c r="A124" t="s">
        <v>243</v>
      </c>
      <c r="B124" s="2" t="s">
        <v>244</v>
      </c>
    </row>
    <row r="125" spans="1:2" x14ac:dyDescent="0.2">
      <c r="A125" t="s">
        <v>245</v>
      </c>
      <c r="B125" s="2" t="s">
        <v>246</v>
      </c>
    </row>
    <row r="126" spans="1:2" x14ac:dyDescent="0.2">
      <c r="A126" t="s">
        <v>247</v>
      </c>
      <c r="B126" s="2" t="s">
        <v>248</v>
      </c>
    </row>
    <row r="127" spans="1:2" x14ac:dyDescent="0.2">
      <c r="A127" t="s">
        <v>249</v>
      </c>
      <c r="B127" s="2" t="s">
        <v>250</v>
      </c>
    </row>
    <row r="128" spans="1:2" x14ac:dyDescent="0.2">
      <c r="A128" t="s">
        <v>251</v>
      </c>
      <c r="B128" s="2" t="s">
        <v>252</v>
      </c>
    </row>
    <row r="129" spans="1:2" x14ac:dyDescent="0.2">
      <c r="A129" t="s">
        <v>253</v>
      </c>
      <c r="B129" s="2" t="s">
        <v>254</v>
      </c>
    </row>
    <row r="130" spans="1:2" x14ac:dyDescent="0.2">
      <c r="A130" t="s">
        <v>255</v>
      </c>
      <c r="B130" s="2" t="s">
        <v>256</v>
      </c>
    </row>
    <row r="131" spans="1:2" x14ac:dyDescent="0.2">
      <c r="A131" t="s">
        <v>257</v>
      </c>
      <c r="B131" s="2" t="s">
        <v>258</v>
      </c>
    </row>
    <row r="132" spans="1:2" x14ac:dyDescent="0.2">
      <c r="A132" t="s">
        <v>259</v>
      </c>
      <c r="B132" s="2" t="s">
        <v>260</v>
      </c>
    </row>
    <row r="133" spans="1:2" x14ac:dyDescent="0.2">
      <c r="A133" t="s">
        <v>261</v>
      </c>
      <c r="B133" s="2" t="s">
        <v>262</v>
      </c>
    </row>
    <row r="134" spans="1:2" x14ac:dyDescent="0.2">
      <c r="A134" t="s">
        <v>263</v>
      </c>
      <c r="B134" s="2" t="s">
        <v>264</v>
      </c>
    </row>
    <row r="135" spans="1:2" x14ac:dyDescent="0.2">
      <c r="A135" t="s">
        <v>265</v>
      </c>
      <c r="B135" s="2" t="s">
        <v>266</v>
      </c>
    </row>
    <row r="136" spans="1:2" x14ac:dyDescent="0.2">
      <c r="A136" t="s">
        <v>267</v>
      </c>
      <c r="B136" s="2" t="s">
        <v>268</v>
      </c>
    </row>
    <row r="137" spans="1:2" x14ac:dyDescent="0.2">
      <c r="A137" t="s">
        <v>269</v>
      </c>
      <c r="B137" s="2" t="s">
        <v>270</v>
      </c>
    </row>
    <row r="138" spans="1:2" x14ac:dyDescent="0.2">
      <c r="A138" t="s">
        <v>271</v>
      </c>
      <c r="B138" s="2" t="s">
        <v>272</v>
      </c>
    </row>
    <row r="139" spans="1:2" x14ac:dyDescent="0.2">
      <c r="A139" t="s">
        <v>273</v>
      </c>
      <c r="B139" s="2" t="s">
        <v>274</v>
      </c>
    </row>
    <row r="140" spans="1:2" x14ac:dyDescent="0.2">
      <c r="A140" t="s">
        <v>275</v>
      </c>
      <c r="B140" s="2" t="s">
        <v>276</v>
      </c>
    </row>
    <row r="141" spans="1:2" x14ac:dyDescent="0.2">
      <c r="A141" t="s">
        <v>277</v>
      </c>
      <c r="B141" s="2" t="s">
        <v>278</v>
      </c>
    </row>
    <row r="142" spans="1:2" x14ac:dyDescent="0.2">
      <c r="A142" t="s">
        <v>279</v>
      </c>
      <c r="B142" s="2" t="s">
        <v>280</v>
      </c>
    </row>
    <row r="143" spans="1:2" x14ac:dyDescent="0.2">
      <c r="A143" t="s">
        <v>281</v>
      </c>
      <c r="B143" s="2" t="s">
        <v>282</v>
      </c>
    </row>
    <row r="144" spans="1:2" x14ac:dyDescent="0.2">
      <c r="A144" t="s">
        <v>283</v>
      </c>
      <c r="B144" s="2" t="s">
        <v>284</v>
      </c>
    </row>
    <row r="145" spans="1:2" x14ac:dyDescent="0.2">
      <c r="A145" t="s">
        <v>285</v>
      </c>
      <c r="B145" s="2" t="s">
        <v>286</v>
      </c>
    </row>
    <row r="146" spans="1:2" x14ac:dyDescent="0.2">
      <c r="A146" t="s">
        <v>287</v>
      </c>
      <c r="B146" s="2" t="s">
        <v>288</v>
      </c>
    </row>
    <row r="147" spans="1:2" x14ac:dyDescent="0.2">
      <c r="A147" t="s">
        <v>289</v>
      </c>
      <c r="B147" s="2" t="s">
        <v>290</v>
      </c>
    </row>
    <row r="148" spans="1:2" x14ac:dyDescent="0.2">
      <c r="A148" t="s">
        <v>291</v>
      </c>
      <c r="B148" s="2" t="s">
        <v>292</v>
      </c>
    </row>
    <row r="149" spans="1:2" x14ac:dyDescent="0.2">
      <c r="A149" t="s">
        <v>293</v>
      </c>
      <c r="B149" s="2" t="s">
        <v>294</v>
      </c>
    </row>
    <row r="150" spans="1:2" x14ac:dyDescent="0.2">
      <c r="A150" t="s">
        <v>295</v>
      </c>
      <c r="B150" s="2" t="s">
        <v>296</v>
      </c>
    </row>
    <row r="151" spans="1:2" x14ac:dyDescent="0.2">
      <c r="A151" t="s">
        <v>297</v>
      </c>
      <c r="B151" s="2" t="s">
        <v>298</v>
      </c>
    </row>
    <row r="152" spans="1:2" x14ac:dyDescent="0.2">
      <c r="A152" t="s">
        <v>299</v>
      </c>
      <c r="B152" s="2" t="s">
        <v>300</v>
      </c>
    </row>
    <row r="153" spans="1:2" x14ac:dyDescent="0.2">
      <c r="A153" t="s">
        <v>301</v>
      </c>
      <c r="B153" s="2" t="s">
        <v>302</v>
      </c>
    </row>
    <row r="154" spans="1:2" x14ac:dyDescent="0.2">
      <c r="A154" t="s">
        <v>303</v>
      </c>
      <c r="B154" s="2" t="s">
        <v>304</v>
      </c>
    </row>
    <row r="155" spans="1:2" x14ac:dyDescent="0.2">
      <c r="A155" t="s">
        <v>305</v>
      </c>
      <c r="B155" s="2" t="s">
        <v>306</v>
      </c>
    </row>
    <row r="156" spans="1:2" x14ac:dyDescent="0.2">
      <c r="A156" t="s">
        <v>307</v>
      </c>
      <c r="B156" s="2" t="s">
        <v>308</v>
      </c>
    </row>
    <row r="157" spans="1:2" x14ac:dyDescent="0.2">
      <c r="A157" t="s">
        <v>309</v>
      </c>
      <c r="B157" s="2" t="s">
        <v>310</v>
      </c>
    </row>
    <row r="158" spans="1:2" x14ac:dyDescent="0.2">
      <c r="A158" t="s">
        <v>311</v>
      </c>
      <c r="B158" s="2" t="s">
        <v>312</v>
      </c>
    </row>
    <row r="159" spans="1:2" x14ac:dyDescent="0.2">
      <c r="A159" t="s">
        <v>313</v>
      </c>
      <c r="B159" s="2" t="s">
        <v>314</v>
      </c>
    </row>
    <row r="160" spans="1:2" x14ac:dyDescent="0.2">
      <c r="A160" t="s">
        <v>315</v>
      </c>
      <c r="B160" s="2" t="s">
        <v>316</v>
      </c>
    </row>
    <row r="161" spans="1:2" x14ac:dyDescent="0.2">
      <c r="A161" t="s">
        <v>317</v>
      </c>
      <c r="B161" s="2" t="s">
        <v>318</v>
      </c>
    </row>
    <row r="162" spans="1:2" x14ac:dyDescent="0.2">
      <c r="A162" t="s">
        <v>319</v>
      </c>
      <c r="B162" s="2" t="s">
        <v>320</v>
      </c>
    </row>
    <row r="163" spans="1:2" x14ac:dyDescent="0.2">
      <c r="A163" t="s">
        <v>321</v>
      </c>
      <c r="B163" s="2" t="s">
        <v>322</v>
      </c>
    </row>
    <row r="164" spans="1:2" x14ac:dyDescent="0.2">
      <c r="A164" t="s">
        <v>323</v>
      </c>
      <c r="B164" s="2" t="s">
        <v>324</v>
      </c>
    </row>
    <row r="165" spans="1:2" x14ac:dyDescent="0.2">
      <c r="A165" t="s">
        <v>325</v>
      </c>
      <c r="B165" s="2" t="s">
        <v>326</v>
      </c>
    </row>
    <row r="166" spans="1:2" x14ac:dyDescent="0.2">
      <c r="A166" t="s">
        <v>327</v>
      </c>
      <c r="B166" s="2" t="s">
        <v>328</v>
      </c>
    </row>
    <row r="167" spans="1:2" x14ac:dyDescent="0.2">
      <c r="A167" t="s">
        <v>329</v>
      </c>
      <c r="B167" s="2" t="s">
        <v>330</v>
      </c>
    </row>
    <row r="168" spans="1:2" x14ac:dyDescent="0.2">
      <c r="A168" t="s">
        <v>331</v>
      </c>
      <c r="B168" s="2" t="s">
        <v>332</v>
      </c>
    </row>
    <row r="169" spans="1:2" x14ac:dyDescent="0.2">
      <c r="A169" t="s">
        <v>333</v>
      </c>
      <c r="B169" s="2" t="s">
        <v>334</v>
      </c>
    </row>
    <row r="170" spans="1:2" x14ac:dyDescent="0.2">
      <c r="A170" t="s">
        <v>335</v>
      </c>
      <c r="B170" s="2" t="s">
        <v>336</v>
      </c>
    </row>
    <row r="171" spans="1:2" x14ac:dyDescent="0.2">
      <c r="A171" t="s">
        <v>337</v>
      </c>
      <c r="B171" s="2" t="s">
        <v>338</v>
      </c>
    </row>
    <row r="172" spans="1:2" x14ac:dyDescent="0.2">
      <c r="A172" t="s">
        <v>339</v>
      </c>
      <c r="B172" s="2" t="s">
        <v>340</v>
      </c>
    </row>
    <row r="173" spans="1:2" x14ac:dyDescent="0.2">
      <c r="A173" t="s">
        <v>341</v>
      </c>
      <c r="B173" s="2" t="s">
        <v>342</v>
      </c>
    </row>
    <row r="174" spans="1:2" x14ac:dyDescent="0.2">
      <c r="A174" t="s">
        <v>343</v>
      </c>
      <c r="B174" s="2" t="s">
        <v>344</v>
      </c>
    </row>
    <row r="175" spans="1:2" x14ac:dyDescent="0.2">
      <c r="A175" t="s">
        <v>345</v>
      </c>
      <c r="B175" s="2" t="s">
        <v>346</v>
      </c>
    </row>
    <row r="176" spans="1:2" x14ac:dyDescent="0.2">
      <c r="A176" t="s">
        <v>347</v>
      </c>
      <c r="B176" s="2" t="s">
        <v>348</v>
      </c>
    </row>
    <row r="177" spans="1:2" x14ac:dyDescent="0.2">
      <c r="A177" t="s">
        <v>349</v>
      </c>
      <c r="B177" s="2" t="s">
        <v>350</v>
      </c>
    </row>
    <row r="178" spans="1:2" x14ac:dyDescent="0.2">
      <c r="A178" t="s">
        <v>351</v>
      </c>
      <c r="B178" s="2" t="s">
        <v>352</v>
      </c>
    </row>
    <row r="179" spans="1:2" x14ac:dyDescent="0.2">
      <c r="A179" t="s">
        <v>353</v>
      </c>
      <c r="B179" s="2" t="s">
        <v>354</v>
      </c>
    </row>
    <row r="180" spans="1:2" x14ac:dyDescent="0.2">
      <c r="A180" t="s">
        <v>355</v>
      </c>
      <c r="B180" s="2" t="s">
        <v>356</v>
      </c>
    </row>
    <row r="181" spans="1:2" x14ac:dyDescent="0.2">
      <c r="A181" t="s">
        <v>357</v>
      </c>
      <c r="B181" s="2" t="s">
        <v>358</v>
      </c>
    </row>
    <row r="182" spans="1:2" x14ac:dyDescent="0.2">
      <c r="A182" t="s">
        <v>359</v>
      </c>
      <c r="B182" s="2" t="s">
        <v>360</v>
      </c>
    </row>
    <row r="183" spans="1:2" x14ac:dyDescent="0.2">
      <c r="A183" t="s">
        <v>361</v>
      </c>
      <c r="B183" s="2" t="s">
        <v>362</v>
      </c>
    </row>
    <row r="184" spans="1:2" x14ac:dyDescent="0.2">
      <c r="A184" t="s">
        <v>363</v>
      </c>
      <c r="B184" s="2" t="s">
        <v>364</v>
      </c>
    </row>
    <row r="185" spans="1:2" x14ac:dyDescent="0.2">
      <c r="A185" t="s">
        <v>365</v>
      </c>
      <c r="B185" s="2" t="s">
        <v>366</v>
      </c>
    </row>
    <row r="186" spans="1:2" x14ac:dyDescent="0.2">
      <c r="A186" t="s">
        <v>367</v>
      </c>
      <c r="B186" s="2" t="s">
        <v>368</v>
      </c>
    </row>
    <row r="187" spans="1:2" x14ac:dyDescent="0.2">
      <c r="A187" t="s">
        <v>369</v>
      </c>
      <c r="B187" s="2" t="s">
        <v>370</v>
      </c>
    </row>
    <row r="188" spans="1:2" x14ac:dyDescent="0.2">
      <c r="A188" t="s">
        <v>371</v>
      </c>
      <c r="B188" s="2" t="s">
        <v>372</v>
      </c>
    </row>
    <row r="189" spans="1:2" x14ac:dyDescent="0.2">
      <c r="A189" t="s">
        <v>373</v>
      </c>
      <c r="B189" s="2" t="s">
        <v>374</v>
      </c>
    </row>
    <row r="190" spans="1:2" x14ac:dyDescent="0.2">
      <c r="A190" t="s">
        <v>375</v>
      </c>
      <c r="B190" s="2" t="s">
        <v>376</v>
      </c>
    </row>
    <row r="191" spans="1:2" x14ac:dyDescent="0.2">
      <c r="A191" t="s">
        <v>377</v>
      </c>
      <c r="B191" s="2" t="s">
        <v>378</v>
      </c>
    </row>
    <row r="192" spans="1:2" x14ac:dyDescent="0.2">
      <c r="A192" t="s">
        <v>379</v>
      </c>
      <c r="B192" s="2" t="s">
        <v>380</v>
      </c>
    </row>
    <row r="193" spans="1:2" x14ac:dyDescent="0.2">
      <c r="A193" t="s">
        <v>381</v>
      </c>
      <c r="B193" s="2" t="s">
        <v>382</v>
      </c>
    </row>
    <row r="194" spans="1:2" x14ac:dyDescent="0.2">
      <c r="A194" t="s">
        <v>383</v>
      </c>
      <c r="B194" s="2" t="s">
        <v>384</v>
      </c>
    </row>
    <row r="195" spans="1:2" x14ac:dyDescent="0.2">
      <c r="A195" t="s">
        <v>385</v>
      </c>
      <c r="B195" s="2" t="s">
        <v>386</v>
      </c>
    </row>
    <row r="196" spans="1:2" x14ac:dyDescent="0.2">
      <c r="A196" t="s">
        <v>387</v>
      </c>
      <c r="B196" s="2" t="s">
        <v>388</v>
      </c>
    </row>
    <row r="197" spans="1:2" x14ac:dyDescent="0.2">
      <c r="A197" t="s">
        <v>389</v>
      </c>
      <c r="B197" s="2" t="s">
        <v>390</v>
      </c>
    </row>
    <row r="198" spans="1:2" x14ac:dyDescent="0.2">
      <c r="A198" t="s">
        <v>391</v>
      </c>
      <c r="B198" s="2" t="s">
        <v>392</v>
      </c>
    </row>
    <row r="199" spans="1:2" x14ac:dyDescent="0.2">
      <c r="A199" t="s">
        <v>393</v>
      </c>
      <c r="B199" s="2" t="s">
        <v>394</v>
      </c>
    </row>
    <row r="200" spans="1:2" x14ac:dyDescent="0.2">
      <c r="A200" t="s">
        <v>395</v>
      </c>
      <c r="B200" s="2" t="s">
        <v>396</v>
      </c>
    </row>
    <row r="201" spans="1:2" x14ac:dyDescent="0.2">
      <c r="A201" t="s">
        <v>397</v>
      </c>
      <c r="B201" s="2" t="s">
        <v>398</v>
      </c>
    </row>
    <row r="202" spans="1:2" x14ac:dyDescent="0.2">
      <c r="A202" t="s">
        <v>399</v>
      </c>
      <c r="B202" s="2" t="s">
        <v>400</v>
      </c>
    </row>
    <row r="203" spans="1:2" x14ac:dyDescent="0.2">
      <c r="A203" t="s">
        <v>401</v>
      </c>
      <c r="B203" s="2" t="s">
        <v>402</v>
      </c>
    </row>
    <row r="204" spans="1:2" x14ac:dyDescent="0.2">
      <c r="A204" t="s">
        <v>403</v>
      </c>
      <c r="B204" s="2" t="s">
        <v>404</v>
      </c>
    </row>
    <row r="205" spans="1:2" x14ac:dyDescent="0.2">
      <c r="A205" t="s">
        <v>405</v>
      </c>
      <c r="B205" s="2" t="s">
        <v>1056</v>
      </c>
    </row>
    <row r="206" spans="1:2" x14ac:dyDescent="0.2">
      <c r="A206" t="s">
        <v>406</v>
      </c>
      <c r="B206" s="2" t="s">
        <v>407</v>
      </c>
    </row>
    <row r="207" spans="1:2" x14ac:dyDescent="0.2">
      <c r="A207" t="s">
        <v>408</v>
      </c>
      <c r="B207" s="2" t="s">
        <v>409</v>
      </c>
    </row>
    <row r="208" spans="1:2" x14ac:dyDescent="0.2">
      <c r="A208" t="s">
        <v>410</v>
      </c>
      <c r="B208" s="2" t="s">
        <v>411</v>
      </c>
    </row>
    <row r="209" spans="1:2" x14ac:dyDescent="0.2">
      <c r="A209" t="s">
        <v>412</v>
      </c>
      <c r="B209" s="2" t="s">
        <v>413</v>
      </c>
    </row>
    <row r="210" spans="1:2" x14ac:dyDescent="0.2">
      <c r="A210" t="s">
        <v>414</v>
      </c>
      <c r="B210" s="2" t="s">
        <v>415</v>
      </c>
    </row>
    <row r="211" spans="1:2" x14ac:dyDescent="0.2">
      <c r="A211" t="s">
        <v>416</v>
      </c>
      <c r="B211" s="2" t="s">
        <v>417</v>
      </c>
    </row>
    <row r="212" spans="1:2" x14ac:dyDescent="0.2">
      <c r="A212" t="s">
        <v>418</v>
      </c>
      <c r="B212" s="2" t="s">
        <v>419</v>
      </c>
    </row>
    <row r="213" spans="1:2" x14ac:dyDescent="0.2">
      <c r="A213" t="s">
        <v>420</v>
      </c>
      <c r="B213" s="2" t="s">
        <v>421</v>
      </c>
    </row>
    <row r="214" spans="1:2" x14ac:dyDescent="0.2">
      <c r="A214" t="s">
        <v>422</v>
      </c>
      <c r="B214" s="2" t="s">
        <v>423</v>
      </c>
    </row>
    <row r="215" spans="1:2" x14ac:dyDescent="0.2">
      <c r="A215" t="s">
        <v>424</v>
      </c>
      <c r="B215" s="2" t="s">
        <v>425</v>
      </c>
    </row>
    <row r="216" spans="1:2" x14ac:dyDescent="0.2">
      <c r="A216" t="s">
        <v>426</v>
      </c>
      <c r="B216" s="2" t="s">
        <v>427</v>
      </c>
    </row>
    <row r="217" spans="1:2" x14ac:dyDescent="0.2">
      <c r="A217" t="s">
        <v>428</v>
      </c>
      <c r="B217" s="2" t="s">
        <v>429</v>
      </c>
    </row>
    <row r="218" spans="1:2" x14ac:dyDescent="0.2">
      <c r="A218" t="s">
        <v>430</v>
      </c>
      <c r="B218" s="2" t="s">
        <v>431</v>
      </c>
    </row>
    <row r="219" spans="1:2" x14ac:dyDescent="0.2">
      <c r="A219" t="s">
        <v>432</v>
      </c>
      <c r="B219" s="2" t="s">
        <v>433</v>
      </c>
    </row>
    <row r="220" spans="1:2" x14ac:dyDescent="0.2">
      <c r="A220" t="s">
        <v>434</v>
      </c>
      <c r="B220" s="2" t="s">
        <v>435</v>
      </c>
    </row>
    <row r="221" spans="1:2" x14ac:dyDescent="0.2">
      <c r="A221" t="s">
        <v>436</v>
      </c>
      <c r="B221" s="2" t="s">
        <v>437</v>
      </c>
    </row>
    <row r="222" spans="1:2" x14ac:dyDescent="0.2">
      <c r="A222" t="s">
        <v>438</v>
      </c>
      <c r="B222" s="2" t="s">
        <v>439</v>
      </c>
    </row>
    <row r="223" spans="1:2" x14ac:dyDescent="0.2">
      <c r="A223" t="s">
        <v>440</v>
      </c>
      <c r="B223" s="2" t="s">
        <v>441</v>
      </c>
    </row>
    <row r="224" spans="1:2" x14ac:dyDescent="0.2">
      <c r="A224" t="s">
        <v>442</v>
      </c>
      <c r="B224" s="2" t="s">
        <v>443</v>
      </c>
    </row>
    <row r="225" spans="1:2" x14ac:dyDescent="0.2">
      <c r="A225" t="s">
        <v>444</v>
      </c>
      <c r="B225" s="2" t="s">
        <v>445</v>
      </c>
    </row>
    <row r="226" spans="1:2" x14ac:dyDescent="0.2">
      <c r="A226" t="s">
        <v>446</v>
      </c>
      <c r="B226" s="2" t="s">
        <v>447</v>
      </c>
    </row>
    <row r="227" spans="1:2" x14ac:dyDescent="0.2">
      <c r="A227" t="s">
        <v>448</v>
      </c>
      <c r="B227" s="2" t="s">
        <v>449</v>
      </c>
    </row>
    <row r="228" spans="1:2" x14ac:dyDescent="0.2">
      <c r="A228" t="s">
        <v>450</v>
      </c>
      <c r="B228" s="2" t="s">
        <v>451</v>
      </c>
    </row>
    <row r="229" spans="1:2" x14ac:dyDescent="0.2">
      <c r="A229" t="s">
        <v>452</v>
      </c>
      <c r="B229" s="2" t="s">
        <v>453</v>
      </c>
    </row>
    <row r="230" spans="1:2" x14ac:dyDescent="0.2">
      <c r="A230" t="s">
        <v>454</v>
      </c>
      <c r="B230" s="2" t="s">
        <v>455</v>
      </c>
    </row>
    <row r="231" spans="1:2" x14ac:dyDescent="0.2">
      <c r="A231" t="s">
        <v>456</v>
      </c>
      <c r="B231" s="2" t="s">
        <v>457</v>
      </c>
    </row>
    <row r="232" spans="1:2" x14ac:dyDescent="0.2">
      <c r="A232" t="s">
        <v>458</v>
      </c>
      <c r="B232" s="2" t="s">
        <v>459</v>
      </c>
    </row>
    <row r="233" spans="1:2" x14ac:dyDescent="0.2">
      <c r="A233" t="s">
        <v>460</v>
      </c>
      <c r="B233" s="2" t="s">
        <v>461</v>
      </c>
    </row>
    <row r="234" spans="1:2" x14ac:dyDescent="0.2">
      <c r="A234" t="s">
        <v>462</v>
      </c>
      <c r="B234" s="2" t="s">
        <v>463</v>
      </c>
    </row>
    <row r="235" spans="1:2" x14ac:dyDescent="0.2">
      <c r="A235" t="s">
        <v>464</v>
      </c>
      <c r="B235" s="2" t="s">
        <v>465</v>
      </c>
    </row>
    <row r="236" spans="1:2" x14ac:dyDescent="0.2">
      <c r="A236" t="s">
        <v>466</v>
      </c>
      <c r="B236" s="2" t="s">
        <v>467</v>
      </c>
    </row>
    <row r="237" spans="1:2" x14ac:dyDescent="0.2">
      <c r="A237" t="s">
        <v>468</v>
      </c>
      <c r="B237" s="2" t="s">
        <v>469</v>
      </c>
    </row>
    <row r="238" spans="1:2" x14ac:dyDescent="0.2">
      <c r="A238" t="s">
        <v>470</v>
      </c>
      <c r="B238" s="2" t="s">
        <v>471</v>
      </c>
    </row>
    <row r="239" spans="1:2" x14ac:dyDescent="0.2">
      <c r="A239" t="s">
        <v>472</v>
      </c>
      <c r="B239" s="2" t="s">
        <v>473</v>
      </c>
    </row>
    <row r="240" spans="1:2" x14ac:dyDescent="0.2">
      <c r="A240" t="s">
        <v>474</v>
      </c>
      <c r="B240" s="2" t="s">
        <v>475</v>
      </c>
    </row>
    <row r="241" spans="1:2" x14ac:dyDescent="0.2">
      <c r="A241" t="s">
        <v>476</v>
      </c>
      <c r="B241" s="2" t="s">
        <v>477</v>
      </c>
    </row>
    <row r="242" spans="1:2" x14ac:dyDescent="0.2">
      <c r="A242" t="s">
        <v>478</v>
      </c>
      <c r="B242" s="2" t="s">
        <v>479</v>
      </c>
    </row>
    <row r="243" spans="1:2" x14ac:dyDescent="0.2">
      <c r="A243" t="s">
        <v>480</v>
      </c>
      <c r="B243" s="2" t="s">
        <v>481</v>
      </c>
    </row>
    <row r="244" spans="1:2" x14ac:dyDescent="0.2">
      <c r="A244" t="s">
        <v>482</v>
      </c>
      <c r="B244" s="2" t="s">
        <v>483</v>
      </c>
    </row>
    <row r="245" spans="1:2" x14ac:dyDescent="0.2">
      <c r="A245" t="s">
        <v>484</v>
      </c>
      <c r="B245" s="2" t="s">
        <v>485</v>
      </c>
    </row>
    <row r="246" spans="1:2" x14ac:dyDescent="0.2">
      <c r="A246" t="s">
        <v>486</v>
      </c>
      <c r="B246" s="2" t="s">
        <v>487</v>
      </c>
    </row>
    <row r="247" spans="1:2" x14ac:dyDescent="0.2">
      <c r="A247" t="s">
        <v>488</v>
      </c>
      <c r="B247" s="2" t="s">
        <v>489</v>
      </c>
    </row>
    <row r="248" spans="1:2" x14ac:dyDescent="0.2">
      <c r="A248" t="s">
        <v>490</v>
      </c>
      <c r="B248" s="2" t="s">
        <v>491</v>
      </c>
    </row>
    <row r="249" spans="1:2" x14ac:dyDescent="0.2">
      <c r="A249" t="s">
        <v>492</v>
      </c>
      <c r="B249" s="2" t="s">
        <v>493</v>
      </c>
    </row>
    <row r="250" spans="1:2" x14ac:dyDescent="0.2">
      <c r="A250" t="s">
        <v>494</v>
      </c>
      <c r="B250" s="2" t="s">
        <v>495</v>
      </c>
    </row>
    <row r="251" spans="1:2" x14ac:dyDescent="0.2">
      <c r="A251" t="s">
        <v>496</v>
      </c>
      <c r="B251" s="2" t="s">
        <v>497</v>
      </c>
    </row>
    <row r="252" spans="1:2" x14ac:dyDescent="0.2">
      <c r="A252" t="s">
        <v>498</v>
      </c>
      <c r="B252" s="2" t="s">
        <v>499</v>
      </c>
    </row>
    <row r="253" spans="1:2" x14ac:dyDescent="0.2">
      <c r="A253" t="s">
        <v>500</v>
      </c>
      <c r="B253" s="2" t="s">
        <v>501</v>
      </c>
    </row>
    <row r="254" spans="1:2" x14ac:dyDescent="0.2">
      <c r="A254" t="s">
        <v>502</v>
      </c>
      <c r="B254" s="2" t="s">
        <v>503</v>
      </c>
    </row>
    <row r="255" spans="1:2" x14ac:dyDescent="0.2">
      <c r="A255" t="s">
        <v>504</v>
      </c>
      <c r="B255" s="2" t="s">
        <v>505</v>
      </c>
    </row>
    <row r="256" spans="1:2" x14ac:dyDescent="0.2">
      <c r="A256" t="s">
        <v>506</v>
      </c>
      <c r="B256" s="2" t="s">
        <v>507</v>
      </c>
    </row>
    <row r="257" spans="1:2" x14ac:dyDescent="0.2">
      <c r="A257" t="s">
        <v>508</v>
      </c>
      <c r="B257" s="2" t="s">
        <v>509</v>
      </c>
    </row>
    <row r="258" spans="1:2" x14ac:dyDescent="0.2">
      <c r="A258" t="s">
        <v>510</v>
      </c>
      <c r="B258" s="2" t="s">
        <v>511</v>
      </c>
    </row>
    <row r="259" spans="1:2" x14ac:dyDescent="0.2">
      <c r="A259" t="s">
        <v>512</v>
      </c>
      <c r="B259" s="2" t="s">
        <v>513</v>
      </c>
    </row>
    <row r="260" spans="1:2" x14ac:dyDescent="0.2">
      <c r="A260" t="s">
        <v>514</v>
      </c>
      <c r="B260" s="2" t="s">
        <v>515</v>
      </c>
    </row>
    <row r="261" spans="1:2" x14ac:dyDescent="0.2">
      <c r="A261" t="s">
        <v>516</v>
      </c>
      <c r="B261" s="2" t="s">
        <v>517</v>
      </c>
    </row>
    <row r="262" spans="1:2" x14ac:dyDescent="0.2">
      <c r="A262" t="s">
        <v>518</v>
      </c>
      <c r="B262" s="2" t="s">
        <v>519</v>
      </c>
    </row>
    <row r="263" spans="1:2" x14ac:dyDescent="0.2">
      <c r="A263" t="s">
        <v>520</v>
      </c>
      <c r="B263" s="2" t="s">
        <v>521</v>
      </c>
    </row>
    <row r="264" spans="1:2" x14ac:dyDescent="0.2">
      <c r="A264" t="s">
        <v>522</v>
      </c>
      <c r="B264" s="2" t="s">
        <v>523</v>
      </c>
    </row>
    <row r="265" spans="1:2" x14ac:dyDescent="0.2">
      <c r="A265" t="s">
        <v>524</v>
      </c>
      <c r="B265" s="2" t="s">
        <v>525</v>
      </c>
    </row>
    <row r="266" spans="1:2" x14ac:dyDescent="0.2">
      <c r="A266" t="s">
        <v>526</v>
      </c>
      <c r="B266" s="2" t="s">
        <v>527</v>
      </c>
    </row>
    <row r="267" spans="1:2" x14ac:dyDescent="0.2">
      <c r="A267" t="s">
        <v>528</v>
      </c>
      <c r="B267" s="2" t="s">
        <v>529</v>
      </c>
    </row>
    <row r="268" spans="1:2" x14ac:dyDescent="0.2">
      <c r="A268" t="s">
        <v>530</v>
      </c>
      <c r="B268" s="2" t="s">
        <v>531</v>
      </c>
    </row>
    <row r="269" spans="1:2" x14ac:dyDescent="0.2">
      <c r="A269" t="s">
        <v>532</v>
      </c>
      <c r="B269" s="2" t="s">
        <v>533</v>
      </c>
    </row>
    <row r="270" spans="1:2" x14ac:dyDescent="0.2">
      <c r="A270" t="s">
        <v>534</v>
      </c>
      <c r="B270" s="2" t="s">
        <v>535</v>
      </c>
    </row>
    <row r="271" spans="1:2" x14ac:dyDescent="0.2">
      <c r="A271" t="s">
        <v>536</v>
      </c>
      <c r="B271" s="2" t="s">
        <v>537</v>
      </c>
    </row>
    <row r="272" spans="1:2" x14ac:dyDescent="0.2">
      <c r="A272" t="s">
        <v>538</v>
      </c>
      <c r="B272" s="2" t="s">
        <v>539</v>
      </c>
    </row>
    <row r="273" spans="1:2" x14ac:dyDescent="0.2">
      <c r="A273" t="s">
        <v>540</v>
      </c>
      <c r="B273" s="2" t="s">
        <v>541</v>
      </c>
    </row>
    <row r="274" spans="1:2" x14ac:dyDescent="0.2">
      <c r="A274" t="s">
        <v>542</v>
      </c>
      <c r="B274" s="2" t="s">
        <v>543</v>
      </c>
    </row>
    <row r="275" spans="1:2" x14ac:dyDescent="0.2">
      <c r="A275" t="s">
        <v>544</v>
      </c>
      <c r="B275" s="2" t="s">
        <v>545</v>
      </c>
    </row>
    <row r="276" spans="1:2" x14ac:dyDescent="0.2">
      <c r="A276" t="s">
        <v>546</v>
      </c>
      <c r="B276" s="2" t="s">
        <v>547</v>
      </c>
    </row>
    <row r="277" spans="1:2" x14ac:dyDescent="0.2">
      <c r="A277" t="s">
        <v>548</v>
      </c>
      <c r="B277" s="2" t="s">
        <v>549</v>
      </c>
    </row>
    <row r="278" spans="1:2" x14ac:dyDescent="0.2">
      <c r="A278" t="s">
        <v>550</v>
      </c>
      <c r="B278" s="2" t="s">
        <v>551</v>
      </c>
    </row>
    <row r="279" spans="1:2" x14ac:dyDescent="0.2">
      <c r="A279" t="s">
        <v>552</v>
      </c>
      <c r="B279" s="2" t="s">
        <v>553</v>
      </c>
    </row>
    <row r="280" spans="1:2" x14ac:dyDescent="0.2">
      <c r="A280" t="s">
        <v>554</v>
      </c>
      <c r="B280" s="2" t="s">
        <v>555</v>
      </c>
    </row>
    <row r="281" spans="1:2" x14ac:dyDescent="0.2">
      <c r="A281" t="s">
        <v>556</v>
      </c>
      <c r="B281" s="2" t="s">
        <v>557</v>
      </c>
    </row>
    <row r="282" spans="1:2" x14ac:dyDescent="0.2">
      <c r="A282" t="s">
        <v>558</v>
      </c>
      <c r="B282" s="2" t="s">
        <v>559</v>
      </c>
    </row>
    <row r="283" spans="1:2" x14ac:dyDescent="0.2">
      <c r="A283" t="s">
        <v>560</v>
      </c>
      <c r="B283" s="2" t="s">
        <v>561</v>
      </c>
    </row>
    <row r="284" spans="1:2" x14ac:dyDescent="0.2">
      <c r="A284" t="s">
        <v>562</v>
      </c>
      <c r="B284" s="2" t="s">
        <v>563</v>
      </c>
    </row>
    <row r="285" spans="1:2" x14ac:dyDescent="0.2">
      <c r="A285" t="s">
        <v>564</v>
      </c>
      <c r="B285" s="2" t="s">
        <v>565</v>
      </c>
    </row>
    <row r="286" spans="1:2" x14ac:dyDescent="0.2">
      <c r="A286" t="s">
        <v>566</v>
      </c>
      <c r="B286" s="2" t="s">
        <v>567</v>
      </c>
    </row>
    <row r="287" spans="1:2" x14ac:dyDescent="0.2">
      <c r="A287" t="s">
        <v>568</v>
      </c>
      <c r="B287" s="2" t="s">
        <v>569</v>
      </c>
    </row>
    <row r="288" spans="1:2" x14ac:dyDescent="0.2">
      <c r="A288" t="s">
        <v>570</v>
      </c>
      <c r="B288" s="2" t="s">
        <v>571</v>
      </c>
    </row>
    <row r="289" spans="1:2" x14ac:dyDescent="0.2">
      <c r="A289" t="s">
        <v>572</v>
      </c>
      <c r="B289" s="2" t="s">
        <v>573</v>
      </c>
    </row>
    <row r="290" spans="1:2" x14ac:dyDescent="0.2">
      <c r="A290" t="s">
        <v>574</v>
      </c>
      <c r="B290" s="2" t="s">
        <v>575</v>
      </c>
    </row>
    <row r="291" spans="1:2" x14ac:dyDescent="0.2">
      <c r="A291" t="s">
        <v>576</v>
      </c>
      <c r="B291" s="2" t="s">
        <v>577</v>
      </c>
    </row>
    <row r="292" spans="1:2" x14ac:dyDescent="0.2">
      <c r="A292" t="s">
        <v>578</v>
      </c>
      <c r="B292" s="2" t="s">
        <v>579</v>
      </c>
    </row>
    <row r="293" spans="1:2" x14ac:dyDescent="0.2">
      <c r="A293" t="s">
        <v>580</v>
      </c>
      <c r="B293" s="2" t="s">
        <v>581</v>
      </c>
    </row>
    <row r="294" spans="1:2" x14ac:dyDescent="0.2">
      <c r="A294" t="s">
        <v>582</v>
      </c>
      <c r="B294" s="2" t="s">
        <v>583</v>
      </c>
    </row>
    <row r="295" spans="1:2" x14ac:dyDescent="0.2">
      <c r="A295" t="s">
        <v>584</v>
      </c>
      <c r="B295" s="2" t="s">
        <v>585</v>
      </c>
    </row>
    <row r="296" spans="1:2" x14ac:dyDescent="0.2">
      <c r="A296" t="s">
        <v>586</v>
      </c>
      <c r="B296" s="2" t="s">
        <v>587</v>
      </c>
    </row>
    <row r="297" spans="1:2" x14ac:dyDescent="0.2">
      <c r="A297" t="s">
        <v>588</v>
      </c>
      <c r="B297" s="2" t="s">
        <v>589</v>
      </c>
    </row>
    <row r="298" spans="1:2" x14ac:dyDescent="0.2">
      <c r="A298" t="s">
        <v>590</v>
      </c>
      <c r="B298" s="2" t="s">
        <v>591</v>
      </c>
    </row>
    <row r="299" spans="1:2" x14ac:dyDescent="0.2">
      <c r="A299" t="s">
        <v>592</v>
      </c>
      <c r="B299" s="2" t="s">
        <v>593</v>
      </c>
    </row>
    <row r="300" spans="1:2" x14ac:dyDescent="0.2">
      <c r="A300" t="s">
        <v>594</v>
      </c>
      <c r="B300" s="2" t="s">
        <v>595</v>
      </c>
    </row>
    <row r="301" spans="1:2" x14ac:dyDescent="0.2">
      <c r="A301" t="s">
        <v>596</v>
      </c>
      <c r="B301" s="2" t="s">
        <v>597</v>
      </c>
    </row>
    <row r="302" spans="1:2" x14ac:dyDescent="0.2">
      <c r="A302" t="s">
        <v>598</v>
      </c>
      <c r="B302" s="2" t="s">
        <v>599</v>
      </c>
    </row>
    <row r="303" spans="1:2" x14ac:dyDescent="0.2">
      <c r="A303" t="s">
        <v>600</v>
      </c>
      <c r="B303" s="2" t="s">
        <v>601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97B2-4DB9-4295-9DEC-4788B78E2549}">
  <sheetPr codeName="Sheet9"/>
  <dimension ref="A1:H2"/>
  <sheetViews>
    <sheetView workbookViewId="0">
      <selection activeCell="D24" sqref="D24"/>
    </sheetView>
  </sheetViews>
  <sheetFormatPr baseColWidth="10" defaultColWidth="8.83203125" defaultRowHeight="15" x14ac:dyDescent="0.2"/>
  <cols>
    <col min="1" max="1" width="12.5" bestFit="1" customWidth="1"/>
    <col min="2" max="2" width="8.33203125" bestFit="1" customWidth="1"/>
    <col min="3" max="3" width="9.5" bestFit="1" customWidth="1"/>
    <col min="4" max="4" width="16.6640625" bestFit="1" customWidth="1"/>
    <col min="5" max="5" width="21.33203125" bestFit="1" customWidth="1"/>
    <col min="6" max="6" width="12.83203125" bestFit="1" customWidth="1"/>
    <col min="7" max="7" width="10.5" bestFit="1" customWidth="1"/>
    <col min="8" max="8" width="17.5" bestFit="1" customWidth="1"/>
  </cols>
  <sheetData>
    <row r="1" spans="1:8" x14ac:dyDescent="0.2">
      <c r="A1" t="s">
        <v>0</v>
      </c>
      <c r="B1" t="s">
        <v>603</v>
      </c>
      <c r="C1" t="s">
        <v>604</v>
      </c>
      <c r="D1" t="s">
        <v>605</v>
      </c>
      <c r="E1" t="s">
        <v>606</v>
      </c>
      <c r="F1" t="s">
        <v>607</v>
      </c>
      <c r="G1" t="s">
        <v>608</v>
      </c>
      <c r="H1" t="s">
        <v>609</v>
      </c>
    </row>
    <row r="2" spans="1:8" x14ac:dyDescent="0.2">
      <c r="A2" t="s">
        <v>1</v>
      </c>
      <c r="B2" t="s">
        <v>610</v>
      </c>
      <c r="C2">
        <v>169</v>
      </c>
      <c r="D2" t="s">
        <v>611</v>
      </c>
      <c r="E2" t="s">
        <v>612</v>
      </c>
      <c r="F2" t="s">
        <v>613</v>
      </c>
      <c r="G2" t="s">
        <v>614</v>
      </c>
      <c r="H2" t="s">
        <v>615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2265-D5BE-4A08-A55A-B89F01C73E68}">
  <dimension ref="A1:H303"/>
  <sheetViews>
    <sheetView workbookViewId="0">
      <selection activeCell="F20" sqref="F20"/>
    </sheetView>
  </sheetViews>
  <sheetFormatPr baseColWidth="10" defaultColWidth="8.83203125" defaultRowHeight="15" x14ac:dyDescent="0.2"/>
  <cols>
    <col min="1" max="1" width="14.83203125" bestFit="1" customWidth="1"/>
    <col min="2" max="2" width="34.6640625" bestFit="1" customWidth="1"/>
    <col min="3" max="3" width="18.6640625" bestFit="1" customWidth="1"/>
    <col min="4" max="4" width="26" bestFit="1" customWidth="1"/>
    <col min="5" max="5" width="26.6640625" bestFit="1" customWidth="1"/>
    <col min="6" max="6" width="247.1640625" bestFit="1" customWidth="1"/>
    <col min="7" max="7" width="18.83203125" bestFit="1" customWidth="1"/>
    <col min="8" max="8" width="255.6640625" bestFit="1" customWidth="1"/>
  </cols>
  <sheetData>
    <row r="1" spans="1:8" x14ac:dyDescent="0.2">
      <c r="A1" t="s">
        <v>0</v>
      </c>
      <c r="B1" t="s">
        <v>616</v>
      </c>
      <c r="C1" t="s">
        <v>617</v>
      </c>
      <c r="D1" t="s">
        <v>618</v>
      </c>
      <c r="E1" t="s">
        <v>619</v>
      </c>
      <c r="F1" t="s">
        <v>620</v>
      </c>
      <c r="G1" t="s">
        <v>621</v>
      </c>
      <c r="H1" t="s">
        <v>622</v>
      </c>
    </row>
    <row r="2" spans="1:8" x14ac:dyDescent="0.2">
      <c r="A2" t="s">
        <v>329</v>
      </c>
      <c r="B2" t="s">
        <v>610</v>
      </c>
      <c r="C2">
        <v>369</v>
      </c>
      <c r="D2" t="s">
        <v>721</v>
      </c>
      <c r="F2" t="s">
        <v>733</v>
      </c>
      <c r="G2" t="s">
        <v>690</v>
      </c>
      <c r="H2" t="s">
        <v>700</v>
      </c>
    </row>
    <row r="3" spans="1:8" x14ac:dyDescent="0.2">
      <c r="A3" t="s">
        <v>359</v>
      </c>
      <c r="B3" t="s">
        <v>905</v>
      </c>
      <c r="C3">
        <v>198</v>
      </c>
      <c r="D3" t="s">
        <v>624</v>
      </c>
      <c r="F3" t="s">
        <v>906</v>
      </c>
      <c r="G3" t="s">
        <v>664</v>
      </c>
      <c r="H3" t="s">
        <v>647</v>
      </c>
    </row>
    <row r="4" spans="1:8" x14ac:dyDescent="0.2">
      <c r="A4" t="s">
        <v>181</v>
      </c>
      <c r="B4" t="s">
        <v>705</v>
      </c>
      <c r="C4">
        <v>100</v>
      </c>
      <c r="F4" t="s">
        <v>806</v>
      </c>
      <c r="G4" t="s">
        <v>627</v>
      </c>
      <c r="H4" t="s">
        <v>807</v>
      </c>
    </row>
    <row r="5" spans="1:8" x14ac:dyDescent="0.2">
      <c r="A5" t="s">
        <v>243</v>
      </c>
      <c r="B5" t="s">
        <v>678</v>
      </c>
      <c r="C5">
        <v>130</v>
      </c>
      <c r="D5" t="s">
        <v>624</v>
      </c>
      <c r="F5" t="s">
        <v>843</v>
      </c>
      <c r="G5" t="s">
        <v>673</v>
      </c>
      <c r="H5" t="s">
        <v>844</v>
      </c>
    </row>
    <row r="6" spans="1:8" x14ac:dyDescent="0.2">
      <c r="A6" t="s">
        <v>548</v>
      </c>
      <c r="B6" t="s">
        <v>1017</v>
      </c>
      <c r="C6">
        <v>270</v>
      </c>
      <c r="D6" t="s">
        <v>813</v>
      </c>
      <c r="F6" t="s">
        <v>1018</v>
      </c>
      <c r="G6" t="s">
        <v>673</v>
      </c>
      <c r="H6" t="s">
        <v>1019</v>
      </c>
    </row>
    <row r="7" spans="1:8" x14ac:dyDescent="0.2">
      <c r="A7" t="s">
        <v>79</v>
      </c>
      <c r="B7" t="s">
        <v>610</v>
      </c>
      <c r="C7">
        <v>549</v>
      </c>
      <c r="D7" t="s">
        <v>712</v>
      </c>
      <c r="F7" t="s">
        <v>714</v>
      </c>
      <c r="G7" t="s">
        <v>627</v>
      </c>
      <c r="H7" t="s">
        <v>715</v>
      </c>
    </row>
    <row r="8" spans="1:8" x14ac:dyDescent="0.2">
      <c r="A8" t="s">
        <v>91</v>
      </c>
      <c r="B8" t="s">
        <v>656</v>
      </c>
      <c r="C8">
        <v>105</v>
      </c>
      <c r="D8" t="s">
        <v>730</v>
      </c>
      <c r="F8" t="s">
        <v>731</v>
      </c>
      <c r="G8" t="s">
        <v>664</v>
      </c>
      <c r="H8" t="s">
        <v>700</v>
      </c>
    </row>
    <row r="9" spans="1:8" x14ac:dyDescent="0.2">
      <c r="A9" t="s">
        <v>269</v>
      </c>
      <c r="B9" t="s">
        <v>648</v>
      </c>
      <c r="C9">
        <v>217</v>
      </c>
      <c r="D9" t="s">
        <v>855</v>
      </c>
      <c r="F9" t="s">
        <v>856</v>
      </c>
      <c r="G9" t="s">
        <v>804</v>
      </c>
      <c r="H9" t="s">
        <v>857</v>
      </c>
    </row>
    <row r="10" spans="1:8" x14ac:dyDescent="0.2">
      <c r="A10" t="s">
        <v>504</v>
      </c>
      <c r="B10" t="s">
        <v>993</v>
      </c>
      <c r="C10">
        <v>140</v>
      </c>
      <c r="F10" t="s">
        <v>856</v>
      </c>
      <c r="G10" t="s">
        <v>997</v>
      </c>
    </row>
    <row r="11" spans="1:8" x14ac:dyDescent="0.2">
      <c r="A11" t="s">
        <v>147</v>
      </c>
      <c r="B11" t="s">
        <v>748</v>
      </c>
      <c r="C11">
        <v>300</v>
      </c>
      <c r="D11" t="s">
        <v>772</v>
      </c>
      <c r="F11" t="s">
        <v>773</v>
      </c>
      <c r="G11" t="s">
        <v>614</v>
      </c>
      <c r="H11" t="s">
        <v>774</v>
      </c>
    </row>
    <row r="12" spans="1:8" x14ac:dyDescent="0.2">
      <c r="A12" t="s">
        <v>528</v>
      </c>
      <c r="B12" t="s">
        <v>629</v>
      </c>
      <c r="C12">
        <v>700</v>
      </c>
      <c r="F12" t="s">
        <v>1008</v>
      </c>
    </row>
    <row r="13" spans="1:8" x14ac:dyDescent="0.2">
      <c r="A13" t="s">
        <v>111</v>
      </c>
      <c r="B13" t="s">
        <v>749</v>
      </c>
      <c r="C13">
        <v>450</v>
      </c>
      <c r="D13" t="s">
        <v>694</v>
      </c>
      <c r="F13" t="s">
        <v>750</v>
      </c>
      <c r="G13" t="s">
        <v>643</v>
      </c>
      <c r="H13" t="s">
        <v>751</v>
      </c>
    </row>
    <row r="14" spans="1:8" x14ac:dyDescent="0.2">
      <c r="A14" t="s">
        <v>323</v>
      </c>
      <c r="B14" t="s">
        <v>879</v>
      </c>
      <c r="C14">
        <v>60</v>
      </c>
      <c r="E14" t="s">
        <v>822</v>
      </c>
      <c r="F14" t="s">
        <v>880</v>
      </c>
      <c r="G14" t="s">
        <v>646</v>
      </c>
    </row>
    <row r="15" spans="1:8" x14ac:dyDescent="0.2">
      <c r="A15" t="s">
        <v>299</v>
      </c>
      <c r="B15" t="s">
        <v>865</v>
      </c>
      <c r="C15">
        <v>194</v>
      </c>
      <c r="D15" t="s">
        <v>866</v>
      </c>
      <c r="F15" t="s">
        <v>867</v>
      </c>
      <c r="G15" t="s">
        <v>643</v>
      </c>
      <c r="H15" t="s">
        <v>868</v>
      </c>
    </row>
    <row r="16" spans="1:8" x14ac:dyDescent="0.2">
      <c r="A16" t="s">
        <v>393</v>
      </c>
      <c r="B16" t="s">
        <v>923</v>
      </c>
      <c r="C16">
        <v>80</v>
      </c>
      <c r="D16" t="s">
        <v>924</v>
      </c>
      <c r="F16" t="s">
        <v>925</v>
      </c>
      <c r="G16" t="s">
        <v>754</v>
      </c>
      <c r="H16" t="s">
        <v>926</v>
      </c>
    </row>
    <row r="17" spans="1:8" x14ac:dyDescent="0.2">
      <c r="A17" t="s">
        <v>233</v>
      </c>
      <c r="B17" t="s">
        <v>767</v>
      </c>
      <c r="C17">
        <v>111</v>
      </c>
      <c r="D17" t="s">
        <v>712</v>
      </c>
      <c r="F17" t="s">
        <v>832</v>
      </c>
      <c r="G17" t="s">
        <v>664</v>
      </c>
      <c r="H17" t="s">
        <v>833</v>
      </c>
    </row>
    <row r="18" spans="1:8" x14ac:dyDescent="0.2">
      <c r="A18" t="s">
        <v>25</v>
      </c>
      <c r="B18" t="s">
        <v>629</v>
      </c>
      <c r="C18">
        <v>465</v>
      </c>
      <c r="D18" t="s">
        <v>649</v>
      </c>
      <c r="F18" t="s">
        <v>666</v>
      </c>
      <c r="G18" t="s">
        <v>627</v>
      </c>
      <c r="H18" t="s">
        <v>667</v>
      </c>
    </row>
    <row r="19" spans="1:8" x14ac:dyDescent="0.2">
      <c r="A19" t="s">
        <v>55</v>
      </c>
      <c r="B19" t="s">
        <v>699</v>
      </c>
      <c r="C19">
        <v>299</v>
      </c>
      <c r="D19" t="s">
        <v>611</v>
      </c>
      <c r="F19" t="s">
        <v>666</v>
      </c>
      <c r="G19" t="s">
        <v>633</v>
      </c>
      <c r="H19" t="s">
        <v>700</v>
      </c>
    </row>
    <row r="20" spans="1:8" x14ac:dyDescent="0.2">
      <c r="A20" t="s">
        <v>185</v>
      </c>
      <c r="B20" t="s">
        <v>699</v>
      </c>
      <c r="C20">
        <v>379</v>
      </c>
      <c r="D20" t="s">
        <v>696</v>
      </c>
      <c r="F20" t="s">
        <v>666</v>
      </c>
      <c r="G20" t="s">
        <v>614</v>
      </c>
      <c r="H20" t="s">
        <v>811</v>
      </c>
    </row>
    <row r="21" spans="1:8" x14ac:dyDescent="0.2">
      <c r="A21" t="s">
        <v>273</v>
      </c>
      <c r="B21" t="s">
        <v>648</v>
      </c>
      <c r="C21">
        <v>180</v>
      </c>
      <c r="D21" t="s">
        <v>649</v>
      </c>
      <c r="F21" t="s">
        <v>666</v>
      </c>
      <c r="G21" t="s">
        <v>664</v>
      </c>
      <c r="H21" t="s">
        <v>677</v>
      </c>
    </row>
    <row r="22" spans="1:8" x14ac:dyDescent="0.2">
      <c r="A22" t="s">
        <v>277</v>
      </c>
      <c r="B22" t="s">
        <v>648</v>
      </c>
      <c r="C22">
        <v>165</v>
      </c>
      <c r="D22" t="s">
        <v>649</v>
      </c>
      <c r="F22" t="s">
        <v>666</v>
      </c>
      <c r="G22" t="s">
        <v>664</v>
      </c>
      <c r="H22" t="s">
        <v>615</v>
      </c>
    </row>
    <row r="23" spans="1:8" x14ac:dyDescent="0.2">
      <c r="A23" t="s">
        <v>285</v>
      </c>
      <c r="B23" t="s">
        <v>648</v>
      </c>
      <c r="C23">
        <v>210</v>
      </c>
      <c r="D23" t="s">
        <v>704</v>
      </c>
      <c r="F23" t="s">
        <v>666</v>
      </c>
      <c r="G23" t="s">
        <v>633</v>
      </c>
      <c r="H23" t="s">
        <v>860</v>
      </c>
    </row>
    <row r="24" spans="1:8" x14ac:dyDescent="0.2">
      <c r="A24" t="s">
        <v>83</v>
      </c>
      <c r="B24" t="s">
        <v>720</v>
      </c>
      <c r="C24">
        <v>115</v>
      </c>
      <c r="D24" t="s">
        <v>721</v>
      </c>
      <c r="F24" t="s">
        <v>722</v>
      </c>
      <c r="G24" t="s">
        <v>637</v>
      </c>
      <c r="H24" t="s">
        <v>650</v>
      </c>
    </row>
    <row r="25" spans="1:8" x14ac:dyDescent="0.2">
      <c r="A25" t="s">
        <v>235</v>
      </c>
      <c r="B25" t="s">
        <v>834</v>
      </c>
      <c r="C25">
        <v>130</v>
      </c>
      <c r="D25" t="s">
        <v>835</v>
      </c>
      <c r="F25" t="s">
        <v>722</v>
      </c>
      <c r="G25" t="s">
        <v>614</v>
      </c>
      <c r="H25" t="s">
        <v>836</v>
      </c>
    </row>
    <row r="26" spans="1:8" x14ac:dyDescent="0.2">
      <c r="A26" t="s">
        <v>289</v>
      </c>
      <c r="B26" t="s">
        <v>648</v>
      </c>
      <c r="C26">
        <v>125</v>
      </c>
      <c r="D26" t="s">
        <v>732</v>
      </c>
      <c r="F26" t="s">
        <v>862</v>
      </c>
      <c r="G26" t="s">
        <v>643</v>
      </c>
      <c r="H26" t="s">
        <v>863</v>
      </c>
    </row>
    <row r="27" spans="1:8" x14ac:dyDescent="0.2">
      <c r="A27" t="s">
        <v>387</v>
      </c>
      <c r="B27" t="s">
        <v>748</v>
      </c>
      <c r="C27">
        <v>80</v>
      </c>
      <c r="D27" t="s">
        <v>918</v>
      </c>
      <c r="F27" t="s">
        <v>862</v>
      </c>
      <c r="G27" t="s">
        <v>627</v>
      </c>
      <c r="H27" t="s">
        <v>919</v>
      </c>
    </row>
    <row r="28" spans="1:8" x14ac:dyDescent="0.2">
      <c r="A28" t="s">
        <v>389</v>
      </c>
      <c r="B28" t="s">
        <v>748</v>
      </c>
      <c r="C28">
        <v>140</v>
      </c>
      <c r="D28" t="s">
        <v>728</v>
      </c>
      <c r="F28" t="s">
        <v>862</v>
      </c>
      <c r="G28" t="s">
        <v>643</v>
      </c>
      <c r="H28" t="s">
        <v>920</v>
      </c>
    </row>
    <row r="29" spans="1:8" x14ac:dyDescent="0.2">
      <c r="A29" t="s">
        <v>391</v>
      </c>
      <c r="B29" t="s">
        <v>921</v>
      </c>
      <c r="C29">
        <v>956</v>
      </c>
      <c r="D29" t="s">
        <v>858</v>
      </c>
      <c r="E29" t="s">
        <v>862</v>
      </c>
      <c r="F29" t="s">
        <v>862</v>
      </c>
      <c r="G29" t="s">
        <v>922</v>
      </c>
      <c r="H29" t="s">
        <v>644</v>
      </c>
    </row>
    <row r="30" spans="1:8" x14ac:dyDescent="0.2">
      <c r="A30" t="s">
        <v>89</v>
      </c>
      <c r="B30" t="s">
        <v>656</v>
      </c>
      <c r="C30">
        <v>109</v>
      </c>
      <c r="D30" t="s">
        <v>728</v>
      </c>
      <c r="F30" t="s">
        <v>729</v>
      </c>
      <c r="G30" t="s">
        <v>643</v>
      </c>
      <c r="H30" t="s">
        <v>700</v>
      </c>
    </row>
    <row r="31" spans="1:8" x14ac:dyDescent="0.2">
      <c r="A31" t="s">
        <v>428</v>
      </c>
      <c r="B31" t="s">
        <v>656</v>
      </c>
      <c r="C31">
        <v>95</v>
      </c>
      <c r="D31" t="s">
        <v>948</v>
      </c>
      <c r="F31" t="s">
        <v>729</v>
      </c>
      <c r="G31" t="s">
        <v>646</v>
      </c>
      <c r="H31" t="s">
        <v>700</v>
      </c>
    </row>
    <row r="32" spans="1:8" x14ac:dyDescent="0.2">
      <c r="A32" t="s">
        <v>27</v>
      </c>
      <c r="B32" t="s">
        <v>668</v>
      </c>
      <c r="C32">
        <v>144</v>
      </c>
      <c r="D32" t="s">
        <v>669</v>
      </c>
      <c r="F32" t="s">
        <v>670</v>
      </c>
      <c r="G32" t="s">
        <v>646</v>
      </c>
      <c r="H32" t="s">
        <v>671</v>
      </c>
    </row>
    <row r="33" spans="1:8" x14ac:dyDescent="0.2">
      <c r="A33" t="s">
        <v>57</v>
      </c>
      <c r="B33" t="s">
        <v>656</v>
      </c>
      <c r="C33">
        <v>199</v>
      </c>
      <c r="D33" t="s">
        <v>649</v>
      </c>
      <c r="F33" t="s">
        <v>670</v>
      </c>
      <c r="G33" t="s">
        <v>701</v>
      </c>
      <c r="H33" t="s">
        <v>615</v>
      </c>
    </row>
    <row r="34" spans="1:8" x14ac:dyDescent="0.2">
      <c r="A34" t="s">
        <v>109</v>
      </c>
      <c r="B34" t="s">
        <v>748</v>
      </c>
      <c r="C34">
        <v>115</v>
      </c>
      <c r="D34" t="s">
        <v>728</v>
      </c>
      <c r="F34" t="s">
        <v>670</v>
      </c>
      <c r="G34" t="s">
        <v>633</v>
      </c>
      <c r="H34" t="s">
        <v>700</v>
      </c>
    </row>
    <row r="35" spans="1:8" x14ac:dyDescent="0.2">
      <c r="A35" t="s">
        <v>279</v>
      </c>
      <c r="B35" t="s">
        <v>648</v>
      </c>
      <c r="C35">
        <v>417</v>
      </c>
      <c r="D35" t="s">
        <v>669</v>
      </c>
      <c r="E35" t="s">
        <v>670</v>
      </c>
      <c r="F35" t="s">
        <v>670</v>
      </c>
      <c r="G35" t="s">
        <v>654</v>
      </c>
      <c r="H35" t="s">
        <v>615</v>
      </c>
    </row>
    <row r="36" spans="1:8" x14ac:dyDescent="0.2">
      <c r="A36" t="s">
        <v>426</v>
      </c>
      <c r="B36" t="s">
        <v>748</v>
      </c>
      <c r="C36">
        <v>128</v>
      </c>
      <c r="D36" t="s">
        <v>728</v>
      </c>
      <c r="F36" t="s">
        <v>670</v>
      </c>
      <c r="G36" t="s">
        <v>643</v>
      </c>
      <c r="H36" t="s">
        <v>700</v>
      </c>
    </row>
    <row r="37" spans="1:8" x14ac:dyDescent="0.2">
      <c r="A37" t="s">
        <v>183</v>
      </c>
      <c r="B37" t="s">
        <v>720</v>
      </c>
      <c r="C37">
        <v>262</v>
      </c>
      <c r="D37" t="s">
        <v>694</v>
      </c>
      <c r="E37" t="s">
        <v>808</v>
      </c>
      <c r="F37" t="s">
        <v>808</v>
      </c>
      <c r="G37" t="s">
        <v>809</v>
      </c>
      <c r="H37" t="s">
        <v>810</v>
      </c>
    </row>
    <row r="38" spans="1:8" x14ac:dyDescent="0.2">
      <c r="A38" t="s">
        <v>574</v>
      </c>
      <c r="B38" t="s">
        <v>639</v>
      </c>
      <c r="C38">
        <v>55</v>
      </c>
      <c r="D38" t="s">
        <v>624</v>
      </c>
      <c r="F38" t="s">
        <v>1035</v>
      </c>
      <c r="G38" t="s">
        <v>633</v>
      </c>
      <c r="H38" t="s">
        <v>1036</v>
      </c>
    </row>
    <row r="39" spans="1:8" x14ac:dyDescent="0.2">
      <c r="A39" t="s">
        <v>381</v>
      </c>
      <c r="B39" t="s">
        <v>668</v>
      </c>
      <c r="C39">
        <v>86</v>
      </c>
      <c r="D39" t="s">
        <v>717</v>
      </c>
      <c r="F39" t="s">
        <v>914</v>
      </c>
      <c r="G39" t="s">
        <v>690</v>
      </c>
      <c r="H39" t="s">
        <v>915</v>
      </c>
    </row>
    <row r="40" spans="1:8" x14ac:dyDescent="0.2">
      <c r="A40" t="s">
        <v>522</v>
      </c>
      <c r="B40" t="s">
        <v>999</v>
      </c>
      <c r="C40">
        <v>89</v>
      </c>
      <c r="D40" t="s">
        <v>1005</v>
      </c>
      <c r="F40" t="s">
        <v>854</v>
      </c>
      <c r="G40" t="s">
        <v>888</v>
      </c>
      <c r="H40" t="s">
        <v>615</v>
      </c>
    </row>
    <row r="41" spans="1:8" x14ac:dyDescent="0.2">
      <c r="A41" t="s">
        <v>7</v>
      </c>
      <c r="B41" t="s">
        <v>631</v>
      </c>
      <c r="C41">
        <v>90</v>
      </c>
      <c r="D41" t="s">
        <v>611</v>
      </c>
      <c r="F41" t="s">
        <v>632</v>
      </c>
      <c r="G41" t="s">
        <v>633</v>
      </c>
      <c r="H41" t="s">
        <v>634</v>
      </c>
    </row>
    <row r="42" spans="1:8" x14ac:dyDescent="0.2">
      <c r="A42" t="s">
        <v>43</v>
      </c>
      <c r="B42" t="s">
        <v>687</v>
      </c>
      <c r="C42">
        <v>195</v>
      </c>
      <c r="D42" t="s">
        <v>688</v>
      </c>
      <c r="F42" t="s">
        <v>689</v>
      </c>
      <c r="G42" t="s">
        <v>690</v>
      </c>
      <c r="H42" t="s">
        <v>691</v>
      </c>
    </row>
    <row r="43" spans="1:8" x14ac:dyDescent="0.2">
      <c r="A43" t="s">
        <v>39</v>
      </c>
      <c r="B43" t="s">
        <v>680</v>
      </c>
      <c r="C43">
        <v>129</v>
      </c>
      <c r="D43" t="s">
        <v>675</v>
      </c>
      <c r="F43" t="s">
        <v>681</v>
      </c>
      <c r="G43" t="s">
        <v>637</v>
      </c>
      <c r="H43" t="s">
        <v>682</v>
      </c>
    </row>
    <row r="44" spans="1:8" x14ac:dyDescent="0.2">
      <c r="A44" t="s">
        <v>1</v>
      </c>
      <c r="B44" t="s">
        <v>610</v>
      </c>
      <c r="C44">
        <v>169</v>
      </c>
      <c r="D44" t="s">
        <v>611</v>
      </c>
      <c r="E44" t="s">
        <v>612</v>
      </c>
      <c r="F44" t="s">
        <v>613</v>
      </c>
      <c r="G44" t="s">
        <v>614</v>
      </c>
      <c r="H44" t="s">
        <v>615</v>
      </c>
    </row>
    <row r="45" spans="1:8" x14ac:dyDescent="0.2">
      <c r="A45" t="s">
        <v>327</v>
      </c>
      <c r="B45" t="s">
        <v>610</v>
      </c>
      <c r="C45">
        <v>143</v>
      </c>
      <c r="D45" t="s">
        <v>611</v>
      </c>
      <c r="F45" t="s">
        <v>613</v>
      </c>
      <c r="G45" t="s">
        <v>809</v>
      </c>
      <c r="H45" t="s">
        <v>883</v>
      </c>
    </row>
    <row r="46" spans="1:8" x14ac:dyDescent="0.2">
      <c r="A46" t="s">
        <v>552</v>
      </c>
      <c r="B46" t="s">
        <v>1020</v>
      </c>
      <c r="C46">
        <v>85</v>
      </c>
      <c r="D46" t="s">
        <v>696</v>
      </c>
      <c r="F46" t="s">
        <v>1021</v>
      </c>
      <c r="G46" t="s">
        <v>664</v>
      </c>
      <c r="H46" t="s">
        <v>615</v>
      </c>
    </row>
    <row r="47" spans="1:8" x14ac:dyDescent="0.2">
      <c r="A47" t="s">
        <v>554</v>
      </c>
      <c r="B47" t="s">
        <v>740</v>
      </c>
      <c r="C47">
        <v>140</v>
      </c>
      <c r="D47" t="s">
        <v>649</v>
      </c>
      <c r="F47" t="s">
        <v>1022</v>
      </c>
      <c r="G47" t="s">
        <v>627</v>
      </c>
      <c r="H47" t="s">
        <v>1023</v>
      </c>
    </row>
    <row r="48" spans="1:8" x14ac:dyDescent="0.2">
      <c r="A48" t="s">
        <v>416</v>
      </c>
      <c r="B48" t="s">
        <v>941</v>
      </c>
      <c r="C48">
        <v>94</v>
      </c>
      <c r="D48" t="s">
        <v>675</v>
      </c>
      <c r="F48" t="s">
        <v>942</v>
      </c>
      <c r="G48" t="s">
        <v>943</v>
      </c>
      <c r="H48" t="s">
        <v>944</v>
      </c>
    </row>
    <row r="49" spans="1:8" x14ac:dyDescent="0.2">
      <c r="A49" t="s">
        <v>570</v>
      </c>
      <c r="B49" t="s">
        <v>639</v>
      </c>
      <c r="C49">
        <v>55</v>
      </c>
      <c r="D49" t="s">
        <v>1032</v>
      </c>
      <c r="F49" t="s">
        <v>1033</v>
      </c>
      <c r="G49" t="s">
        <v>627</v>
      </c>
      <c r="H49" t="s">
        <v>1034</v>
      </c>
    </row>
    <row r="50" spans="1:8" x14ac:dyDescent="0.2">
      <c r="A50" t="s">
        <v>337</v>
      </c>
      <c r="B50" t="s">
        <v>692</v>
      </c>
      <c r="C50">
        <v>100</v>
      </c>
      <c r="D50" t="s">
        <v>669</v>
      </c>
      <c r="F50" t="s">
        <v>889</v>
      </c>
      <c r="G50" t="s">
        <v>754</v>
      </c>
      <c r="H50" t="s">
        <v>615</v>
      </c>
    </row>
    <row r="51" spans="1:8" x14ac:dyDescent="0.2">
      <c r="A51" t="s">
        <v>341</v>
      </c>
      <c r="B51" t="s">
        <v>692</v>
      </c>
      <c r="C51">
        <v>80</v>
      </c>
      <c r="D51" t="s">
        <v>696</v>
      </c>
      <c r="F51" t="s">
        <v>889</v>
      </c>
      <c r="G51" t="s">
        <v>633</v>
      </c>
      <c r="H51" t="s">
        <v>615</v>
      </c>
    </row>
    <row r="52" spans="1:8" x14ac:dyDescent="0.2">
      <c r="A52" t="s">
        <v>53</v>
      </c>
      <c r="B52" t="s">
        <v>668</v>
      </c>
      <c r="C52">
        <v>173</v>
      </c>
      <c r="D52" t="s">
        <v>696</v>
      </c>
      <c r="F52" t="s">
        <v>697</v>
      </c>
      <c r="G52" t="s">
        <v>637</v>
      </c>
      <c r="H52" t="s">
        <v>698</v>
      </c>
    </row>
    <row r="53" spans="1:8" x14ac:dyDescent="0.2">
      <c r="A53" t="s">
        <v>173</v>
      </c>
      <c r="B53" t="s">
        <v>740</v>
      </c>
      <c r="C53">
        <v>169</v>
      </c>
      <c r="D53" t="s">
        <v>649</v>
      </c>
      <c r="F53" t="s">
        <v>697</v>
      </c>
      <c r="G53" t="s">
        <v>643</v>
      </c>
      <c r="H53" t="s">
        <v>798</v>
      </c>
    </row>
    <row r="54" spans="1:8" x14ac:dyDescent="0.2">
      <c r="A54" t="s">
        <v>145</v>
      </c>
      <c r="B54" t="s">
        <v>769</v>
      </c>
      <c r="C54">
        <v>88</v>
      </c>
      <c r="D54" t="s">
        <v>696</v>
      </c>
      <c r="F54" t="s">
        <v>770</v>
      </c>
      <c r="G54" t="s">
        <v>627</v>
      </c>
      <c r="H54" t="s">
        <v>771</v>
      </c>
    </row>
    <row r="55" spans="1:8" x14ac:dyDescent="0.2">
      <c r="A55" t="s">
        <v>345</v>
      </c>
      <c r="B55" t="s">
        <v>893</v>
      </c>
      <c r="C55">
        <v>90</v>
      </c>
      <c r="D55" t="s">
        <v>704</v>
      </c>
      <c r="F55" t="s">
        <v>894</v>
      </c>
      <c r="G55" t="s">
        <v>888</v>
      </c>
      <c r="H55" t="s">
        <v>895</v>
      </c>
    </row>
    <row r="56" spans="1:8" x14ac:dyDescent="0.2">
      <c r="A56" t="s">
        <v>369</v>
      </c>
      <c r="B56" t="s">
        <v>908</v>
      </c>
      <c r="C56">
        <v>208</v>
      </c>
      <c r="D56" t="s">
        <v>909</v>
      </c>
      <c r="F56" t="s">
        <v>910</v>
      </c>
      <c r="G56" t="s">
        <v>754</v>
      </c>
      <c r="H56" t="s">
        <v>911</v>
      </c>
    </row>
    <row r="57" spans="1:8" x14ac:dyDescent="0.2">
      <c r="A57" t="s">
        <v>317</v>
      </c>
      <c r="B57" t="s">
        <v>812</v>
      </c>
      <c r="C57">
        <v>130</v>
      </c>
      <c r="D57" t="s">
        <v>704</v>
      </c>
      <c r="F57" t="s">
        <v>875</v>
      </c>
      <c r="G57" t="s">
        <v>814</v>
      </c>
      <c r="H57" t="s">
        <v>876</v>
      </c>
    </row>
    <row r="58" spans="1:8" x14ac:dyDescent="0.2">
      <c r="A58" t="s">
        <v>253</v>
      </c>
      <c r="B58" t="s">
        <v>849</v>
      </c>
      <c r="C58">
        <v>80</v>
      </c>
      <c r="F58" t="s">
        <v>850</v>
      </c>
      <c r="G58" t="s">
        <v>664</v>
      </c>
    </row>
    <row r="59" spans="1:8" x14ac:dyDescent="0.2">
      <c r="A59" t="s">
        <v>408</v>
      </c>
      <c r="B59" t="s">
        <v>933</v>
      </c>
      <c r="C59">
        <v>290</v>
      </c>
      <c r="D59" t="s">
        <v>696</v>
      </c>
      <c r="F59" t="s">
        <v>934</v>
      </c>
      <c r="G59" t="s">
        <v>809</v>
      </c>
      <c r="H59" t="s">
        <v>935</v>
      </c>
    </row>
    <row r="60" spans="1:8" x14ac:dyDescent="0.2">
      <c r="A60" t="s">
        <v>464</v>
      </c>
      <c r="B60" t="s">
        <v>960</v>
      </c>
      <c r="C60">
        <v>395</v>
      </c>
      <c r="D60" t="s">
        <v>669</v>
      </c>
      <c r="F60" t="s">
        <v>964</v>
      </c>
      <c r="G60" t="s">
        <v>643</v>
      </c>
      <c r="H60" t="s">
        <v>615</v>
      </c>
    </row>
    <row r="61" spans="1:8" x14ac:dyDescent="0.2">
      <c r="A61" t="s">
        <v>480</v>
      </c>
      <c r="B61" t="s">
        <v>973</v>
      </c>
      <c r="C61">
        <v>43</v>
      </c>
      <c r="D61" t="s">
        <v>624</v>
      </c>
      <c r="F61" t="s">
        <v>974</v>
      </c>
      <c r="G61" t="s">
        <v>654</v>
      </c>
      <c r="H61" t="s">
        <v>953</v>
      </c>
    </row>
    <row r="62" spans="1:8" x14ac:dyDescent="0.2">
      <c r="A62" t="s">
        <v>590</v>
      </c>
      <c r="B62" t="s">
        <v>648</v>
      </c>
      <c r="C62">
        <v>89</v>
      </c>
      <c r="D62" t="s">
        <v>649</v>
      </c>
      <c r="F62" t="s">
        <v>1043</v>
      </c>
      <c r="G62" t="s">
        <v>627</v>
      </c>
      <c r="H62" t="s">
        <v>615</v>
      </c>
    </row>
    <row r="63" spans="1:8" x14ac:dyDescent="0.2">
      <c r="A63" t="s">
        <v>209</v>
      </c>
      <c r="B63" t="s">
        <v>823</v>
      </c>
      <c r="C63">
        <v>75</v>
      </c>
      <c r="D63" t="s">
        <v>825</v>
      </c>
      <c r="F63" t="s">
        <v>826</v>
      </c>
      <c r="G63" t="s">
        <v>664</v>
      </c>
      <c r="H63" t="s">
        <v>827</v>
      </c>
    </row>
    <row r="64" spans="1:8" x14ac:dyDescent="0.2">
      <c r="A64" t="s">
        <v>395</v>
      </c>
      <c r="B64" t="s">
        <v>672</v>
      </c>
      <c r="C64">
        <v>170</v>
      </c>
      <c r="D64" t="s">
        <v>821</v>
      </c>
      <c r="F64" t="s">
        <v>927</v>
      </c>
      <c r="G64" t="s">
        <v>673</v>
      </c>
      <c r="H64" t="s">
        <v>859</v>
      </c>
    </row>
    <row r="65" spans="1:8" x14ac:dyDescent="0.2">
      <c r="A65" t="s">
        <v>335</v>
      </c>
      <c r="B65" t="s">
        <v>692</v>
      </c>
      <c r="C65">
        <v>90</v>
      </c>
      <c r="D65" t="s">
        <v>696</v>
      </c>
      <c r="F65" t="s">
        <v>887</v>
      </c>
      <c r="G65" t="s">
        <v>888</v>
      </c>
      <c r="H65" t="s">
        <v>615</v>
      </c>
    </row>
    <row r="66" spans="1:8" x14ac:dyDescent="0.2">
      <c r="A66" t="s">
        <v>255</v>
      </c>
      <c r="B66" t="s">
        <v>849</v>
      </c>
      <c r="C66">
        <v>179</v>
      </c>
      <c r="D66" t="s">
        <v>696</v>
      </c>
      <c r="F66" t="s">
        <v>851</v>
      </c>
      <c r="G66" t="s">
        <v>633</v>
      </c>
      <c r="H66" t="s">
        <v>615</v>
      </c>
    </row>
    <row r="67" spans="1:8" x14ac:dyDescent="0.2">
      <c r="A67" t="s">
        <v>161</v>
      </c>
      <c r="B67" t="s">
        <v>788</v>
      </c>
      <c r="C67">
        <v>40</v>
      </c>
      <c r="D67" t="s">
        <v>624</v>
      </c>
      <c r="F67" t="s">
        <v>789</v>
      </c>
      <c r="G67" t="s">
        <v>614</v>
      </c>
      <c r="H67" t="s">
        <v>660</v>
      </c>
    </row>
    <row r="68" spans="1:8" x14ac:dyDescent="0.2">
      <c r="A68" t="s">
        <v>163</v>
      </c>
      <c r="B68" t="s">
        <v>788</v>
      </c>
      <c r="C68">
        <v>40</v>
      </c>
      <c r="D68" t="s">
        <v>624</v>
      </c>
      <c r="F68" t="s">
        <v>789</v>
      </c>
      <c r="G68" t="s">
        <v>633</v>
      </c>
      <c r="H68" t="s">
        <v>660</v>
      </c>
    </row>
    <row r="69" spans="1:8" x14ac:dyDescent="0.2">
      <c r="A69" t="s">
        <v>99</v>
      </c>
      <c r="B69" t="s">
        <v>734</v>
      </c>
      <c r="C69">
        <v>15</v>
      </c>
      <c r="D69" t="s">
        <v>735</v>
      </c>
      <c r="F69" t="s">
        <v>736</v>
      </c>
      <c r="G69" t="s">
        <v>643</v>
      </c>
      <c r="H69" t="s">
        <v>647</v>
      </c>
    </row>
    <row r="70" spans="1:8" x14ac:dyDescent="0.2">
      <c r="A70" t="s">
        <v>355</v>
      </c>
      <c r="B70" t="s">
        <v>900</v>
      </c>
      <c r="C70">
        <v>280</v>
      </c>
      <c r="D70" t="s">
        <v>649</v>
      </c>
      <c r="F70" t="s">
        <v>901</v>
      </c>
      <c r="H70" t="s">
        <v>902</v>
      </c>
    </row>
    <row r="71" spans="1:8" x14ac:dyDescent="0.2">
      <c r="A71" t="s">
        <v>165</v>
      </c>
      <c r="B71" t="s">
        <v>790</v>
      </c>
      <c r="C71">
        <v>40</v>
      </c>
      <c r="F71" t="s">
        <v>791</v>
      </c>
      <c r="G71" t="s">
        <v>646</v>
      </c>
      <c r="H71" t="s">
        <v>792</v>
      </c>
    </row>
    <row r="72" spans="1:8" x14ac:dyDescent="0.2">
      <c r="A72" t="s">
        <v>115</v>
      </c>
      <c r="B72" t="s">
        <v>668</v>
      </c>
      <c r="C72">
        <v>259</v>
      </c>
      <c r="D72" t="s">
        <v>704</v>
      </c>
      <c r="F72" t="s">
        <v>756</v>
      </c>
      <c r="G72" t="s">
        <v>690</v>
      </c>
      <c r="H72" t="s">
        <v>615</v>
      </c>
    </row>
    <row r="73" spans="1:8" x14ac:dyDescent="0.2">
      <c r="A73" t="s">
        <v>397</v>
      </c>
      <c r="B73" t="s">
        <v>672</v>
      </c>
      <c r="C73">
        <v>273</v>
      </c>
      <c r="D73" t="s">
        <v>696</v>
      </c>
      <c r="F73" t="s">
        <v>928</v>
      </c>
      <c r="G73" t="s">
        <v>929</v>
      </c>
      <c r="H73" t="s">
        <v>700</v>
      </c>
    </row>
    <row r="74" spans="1:8" x14ac:dyDescent="0.2">
      <c r="A74" t="s">
        <v>129</v>
      </c>
      <c r="B74" t="s">
        <v>764</v>
      </c>
      <c r="C74">
        <v>50</v>
      </c>
      <c r="D74" t="s">
        <v>624</v>
      </c>
      <c r="F74" t="s">
        <v>765</v>
      </c>
      <c r="G74" t="s">
        <v>633</v>
      </c>
      <c r="H74" t="s">
        <v>677</v>
      </c>
    </row>
    <row r="75" spans="1:8" x14ac:dyDescent="0.2">
      <c r="A75" t="s">
        <v>343</v>
      </c>
      <c r="B75" t="s">
        <v>890</v>
      </c>
      <c r="C75">
        <v>22</v>
      </c>
      <c r="D75" t="s">
        <v>891</v>
      </c>
      <c r="F75" t="s">
        <v>892</v>
      </c>
      <c r="G75" t="s">
        <v>614</v>
      </c>
      <c r="H75" t="s">
        <v>682</v>
      </c>
    </row>
    <row r="76" spans="1:8" x14ac:dyDescent="0.2">
      <c r="A76" t="s">
        <v>484</v>
      </c>
      <c r="B76" t="s">
        <v>976</v>
      </c>
      <c r="C76">
        <v>37</v>
      </c>
      <c r="D76" t="s">
        <v>977</v>
      </c>
      <c r="F76" t="s">
        <v>978</v>
      </c>
      <c r="G76" t="s">
        <v>654</v>
      </c>
      <c r="H76" t="s">
        <v>774</v>
      </c>
    </row>
    <row r="77" spans="1:8" x14ac:dyDescent="0.2">
      <c r="A77" t="s">
        <v>113</v>
      </c>
      <c r="B77" t="s">
        <v>752</v>
      </c>
      <c r="C77">
        <v>40</v>
      </c>
      <c r="D77" t="s">
        <v>738</v>
      </c>
      <c r="F77" t="s">
        <v>753</v>
      </c>
      <c r="G77" t="s">
        <v>754</v>
      </c>
      <c r="H77" t="s">
        <v>755</v>
      </c>
    </row>
    <row r="78" spans="1:8" x14ac:dyDescent="0.2">
      <c r="A78" t="s">
        <v>482</v>
      </c>
      <c r="B78" t="s">
        <v>975</v>
      </c>
      <c r="C78">
        <v>38</v>
      </c>
      <c r="F78" t="s">
        <v>753</v>
      </c>
      <c r="G78" t="s">
        <v>654</v>
      </c>
      <c r="H78" t="s">
        <v>647</v>
      </c>
    </row>
    <row r="79" spans="1:8" x14ac:dyDescent="0.2">
      <c r="A79" t="s">
        <v>490</v>
      </c>
      <c r="B79" t="s">
        <v>983</v>
      </c>
      <c r="C79">
        <v>80</v>
      </c>
      <c r="D79" t="s">
        <v>624</v>
      </c>
      <c r="F79" t="s">
        <v>984</v>
      </c>
      <c r="G79" t="s">
        <v>654</v>
      </c>
      <c r="H79" t="s">
        <v>985</v>
      </c>
    </row>
    <row r="80" spans="1:8" x14ac:dyDescent="0.2">
      <c r="A80" t="s">
        <v>488</v>
      </c>
      <c r="B80" t="s">
        <v>980</v>
      </c>
      <c r="C80">
        <v>38</v>
      </c>
      <c r="F80" t="s">
        <v>981</v>
      </c>
      <c r="G80" t="s">
        <v>664</v>
      </c>
      <c r="H80" t="s">
        <v>982</v>
      </c>
    </row>
    <row r="81" spans="1:8" x14ac:dyDescent="0.2">
      <c r="A81" t="s">
        <v>442</v>
      </c>
      <c r="C81">
        <v>58</v>
      </c>
      <c r="F81" t="s">
        <v>956</v>
      </c>
      <c r="G81" t="s">
        <v>614</v>
      </c>
    </row>
    <row r="82" spans="1:8" x14ac:dyDescent="0.2">
      <c r="A82" t="s">
        <v>11</v>
      </c>
      <c r="B82" t="s">
        <v>639</v>
      </c>
      <c r="C82">
        <v>80</v>
      </c>
      <c r="D82" t="s">
        <v>640</v>
      </c>
      <c r="E82" t="s">
        <v>641</v>
      </c>
      <c r="F82" t="s">
        <v>642</v>
      </c>
      <c r="G82" t="s">
        <v>643</v>
      </c>
      <c r="H82" t="s">
        <v>644</v>
      </c>
    </row>
    <row r="83" spans="1:8" x14ac:dyDescent="0.2">
      <c r="A83" t="s">
        <v>430</v>
      </c>
      <c r="B83" t="s">
        <v>648</v>
      </c>
      <c r="C83">
        <v>232</v>
      </c>
      <c r="D83" t="s">
        <v>949</v>
      </c>
      <c r="F83" t="s">
        <v>950</v>
      </c>
      <c r="G83" t="s">
        <v>664</v>
      </c>
      <c r="H83" t="s">
        <v>951</v>
      </c>
    </row>
    <row r="84" spans="1:8" x14ac:dyDescent="0.2">
      <c r="A84" t="s">
        <v>514</v>
      </c>
      <c r="B84" t="s">
        <v>999</v>
      </c>
      <c r="C84">
        <v>30</v>
      </c>
      <c r="D84" t="s">
        <v>1000</v>
      </c>
      <c r="E84" t="s">
        <v>822</v>
      </c>
      <c r="F84" t="s">
        <v>1001</v>
      </c>
      <c r="G84" t="s">
        <v>664</v>
      </c>
      <c r="H84" t="s">
        <v>1002</v>
      </c>
    </row>
    <row r="85" spans="1:8" x14ac:dyDescent="0.2">
      <c r="A85" t="s">
        <v>347</v>
      </c>
      <c r="B85" t="s">
        <v>896</v>
      </c>
      <c r="C85">
        <v>160</v>
      </c>
      <c r="D85" t="s">
        <v>897</v>
      </c>
      <c r="F85" t="s">
        <v>898</v>
      </c>
      <c r="G85" t="s">
        <v>804</v>
      </c>
      <c r="H85" t="s">
        <v>679</v>
      </c>
    </row>
    <row r="86" spans="1:8" x14ac:dyDescent="0.2">
      <c r="A86" t="s">
        <v>349</v>
      </c>
      <c r="B86" t="s">
        <v>896</v>
      </c>
      <c r="C86">
        <v>190</v>
      </c>
      <c r="D86" t="s">
        <v>611</v>
      </c>
      <c r="F86" t="s">
        <v>898</v>
      </c>
      <c r="G86" t="s">
        <v>630</v>
      </c>
      <c r="H86" t="s">
        <v>679</v>
      </c>
    </row>
    <row r="87" spans="1:8" x14ac:dyDescent="0.2">
      <c r="A87" t="s">
        <v>351</v>
      </c>
      <c r="B87" t="s">
        <v>896</v>
      </c>
      <c r="C87">
        <v>190</v>
      </c>
      <c r="D87" t="s">
        <v>635</v>
      </c>
      <c r="F87" t="s">
        <v>898</v>
      </c>
      <c r="G87" t="s">
        <v>899</v>
      </c>
      <c r="H87" t="s">
        <v>679</v>
      </c>
    </row>
    <row r="88" spans="1:8" x14ac:dyDescent="0.2">
      <c r="A88" t="s">
        <v>125</v>
      </c>
      <c r="B88" t="s">
        <v>708</v>
      </c>
      <c r="C88">
        <v>40</v>
      </c>
      <c r="D88" t="s">
        <v>709</v>
      </c>
      <c r="F88" t="s">
        <v>762</v>
      </c>
      <c r="G88" t="s">
        <v>643</v>
      </c>
      <c r="H88" t="s">
        <v>763</v>
      </c>
    </row>
    <row r="89" spans="1:8" x14ac:dyDescent="0.2">
      <c r="A89" t="s">
        <v>75</v>
      </c>
      <c r="B89" t="s">
        <v>708</v>
      </c>
      <c r="C89">
        <v>39</v>
      </c>
      <c r="D89" t="s">
        <v>709</v>
      </c>
      <c r="F89" t="s">
        <v>710</v>
      </c>
      <c r="G89" t="s">
        <v>643</v>
      </c>
      <c r="H89" t="s">
        <v>711</v>
      </c>
    </row>
    <row r="90" spans="1:8" x14ac:dyDescent="0.2">
      <c r="A90" t="s">
        <v>321</v>
      </c>
      <c r="B90" t="s">
        <v>683</v>
      </c>
      <c r="C90">
        <v>151</v>
      </c>
      <c r="D90" t="s">
        <v>704</v>
      </c>
      <c r="F90" t="s">
        <v>877</v>
      </c>
      <c r="G90" t="s">
        <v>690</v>
      </c>
      <c r="H90" t="s">
        <v>878</v>
      </c>
    </row>
    <row r="91" spans="1:8" x14ac:dyDescent="0.2">
      <c r="A91" t="s">
        <v>17</v>
      </c>
      <c r="B91" t="s">
        <v>651</v>
      </c>
      <c r="C91">
        <v>269</v>
      </c>
      <c r="D91" t="s">
        <v>652</v>
      </c>
      <c r="F91" t="s">
        <v>653</v>
      </c>
      <c r="G91" t="s">
        <v>654</v>
      </c>
      <c r="H91" t="s">
        <v>655</v>
      </c>
    </row>
    <row r="92" spans="1:8" x14ac:dyDescent="0.2">
      <c r="A92" t="s">
        <v>155</v>
      </c>
      <c r="B92" t="s">
        <v>782</v>
      </c>
      <c r="C92">
        <v>190</v>
      </c>
      <c r="D92" t="s">
        <v>675</v>
      </c>
      <c r="F92" t="s">
        <v>783</v>
      </c>
      <c r="G92" t="s">
        <v>654</v>
      </c>
      <c r="H92" t="s">
        <v>784</v>
      </c>
    </row>
    <row r="93" spans="1:8" x14ac:dyDescent="0.2">
      <c r="A93" t="s">
        <v>418</v>
      </c>
      <c r="B93" t="s">
        <v>945</v>
      </c>
      <c r="C93">
        <v>79</v>
      </c>
      <c r="D93" t="s">
        <v>728</v>
      </c>
      <c r="F93" t="s">
        <v>946</v>
      </c>
      <c r="G93" t="s">
        <v>646</v>
      </c>
      <c r="H93" t="s">
        <v>947</v>
      </c>
    </row>
    <row r="94" spans="1:8" x14ac:dyDescent="0.2">
      <c r="A94" t="s">
        <v>556</v>
      </c>
      <c r="B94" t="s">
        <v>740</v>
      </c>
      <c r="C94">
        <v>149</v>
      </c>
      <c r="D94" t="s">
        <v>649</v>
      </c>
      <c r="F94" t="s">
        <v>1024</v>
      </c>
      <c r="G94" t="s">
        <v>627</v>
      </c>
      <c r="H94" t="s">
        <v>1023</v>
      </c>
    </row>
    <row r="95" spans="1:8" x14ac:dyDescent="0.2">
      <c r="A95" t="s">
        <v>474</v>
      </c>
      <c r="B95" t="s">
        <v>965</v>
      </c>
      <c r="C95">
        <v>100</v>
      </c>
      <c r="D95" t="s">
        <v>712</v>
      </c>
      <c r="F95" t="s">
        <v>966</v>
      </c>
      <c r="G95" t="s">
        <v>654</v>
      </c>
      <c r="H95" t="s">
        <v>967</v>
      </c>
    </row>
    <row r="96" spans="1:8" x14ac:dyDescent="0.2">
      <c r="A96" t="s">
        <v>315</v>
      </c>
      <c r="B96" t="s">
        <v>658</v>
      </c>
      <c r="C96">
        <v>100</v>
      </c>
      <c r="D96" t="s">
        <v>624</v>
      </c>
      <c r="F96" t="s">
        <v>873</v>
      </c>
      <c r="G96" t="s">
        <v>633</v>
      </c>
      <c r="H96" t="s">
        <v>874</v>
      </c>
    </row>
    <row r="97" spans="1:8" x14ac:dyDescent="0.2">
      <c r="A97" t="s">
        <v>476</v>
      </c>
      <c r="B97" t="s">
        <v>965</v>
      </c>
      <c r="C97">
        <v>153</v>
      </c>
      <c r="D97" t="s">
        <v>968</v>
      </c>
      <c r="F97" t="s">
        <v>969</v>
      </c>
      <c r="H97" t="s">
        <v>970</v>
      </c>
    </row>
    <row r="98" spans="1:8" x14ac:dyDescent="0.2">
      <c r="A98" t="s">
        <v>325</v>
      </c>
      <c r="B98" t="s">
        <v>881</v>
      </c>
      <c r="C98">
        <v>146</v>
      </c>
      <c r="D98" t="s">
        <v>778</v>
      </c>
      <c r="F98" t="s">
        <v>882</v>
      </c>
      <c r="G98" t="s">
        <v>627</v>
      </c>
      <c r="H98" t="s">
        <v>868</v>
      </c>
    </row>
    <row r="99" spans="1:8" x14ac:dyDescent="0.2">
      <c r="A99" t="s">
        <v>81</v>
      </c>
      <c r="B99" t="s">
        <v>716</v>
      </c>
      <c r="C99">
        <v>114</v>
      </c>
      <c r="D99" t="s">
        <v>717</v>
      </c>
      <c r="F99" t="s">
        <v>718</v>
      </c>
      <c r="G99" t="s">
        <v>633</v>
      </c>
      <c r="H99" t="s">
        <v>719</v>
      </c>
    </row>
    <row r="100" spans="1:8" x14ac:dyDescent="0.2">
      <c r="A100" t="s">
        <v>117</v>
      </c>
      <c r="B100" t="s">
        <v>702</v>
      </c>
      <c r="C100">
        <v>499</v>
      </c>
      <c r="D100" t="s">
        <v>757</v>
      </c>
      <c r="F100" t="s">
        <v>758</v>
      </c>
      <c r="G100" t="s">
        <v>701</v>
      </c>
      <c r="H100" t="s">
        <v>703</v>
      </c>
    </row>
    <row r="101" spans="1:8" x14ac:dyDescent="0.2">
      <c r="A101" t="s">
        <v>560</v>
      </c>
      <c r="B101" t="s">
        <v>1025</v>
      </c>
      <c r="C101">
        <v>14</v>
      </c>
      <c r="F101" t="s">
        <v>1027</v>
      </c>
      <c r="G101" t="s">
        <v>804</v>
      </c>
      <c r="H101" t="s">
        <v>1026</v>
      </c>
    </row>
    <row r="102" spans="1:8" x14ac:dyDescent="0.2">
      <c r="A102" t="s">
        <v>41</v>
      </c>
      <c r="B102" t="s">
        <v>683</v>
      </c>
      <c r="C102">
        <v>149</v>
      </c>
      <c r="D102" t="s">
        <v>684</v>
      </c>
      <c r="F102" t="s">
        <v>685</v>
      </c>
      <c r="G102" t="s">
        <v>614</v>
      </c>
      <c r="H102" t="s">
        <v>686</v>
      </c>
    </row>
    <row r="103" spans="1:8" x14ac:dyDescent="0.2">
      <c r="A103" t="s">
        <v>193</v>
      </c>
      <c r="B103" t="s">
        <v>817</v>
      </c>
      <c r="C103">
        <v>40</v>
      </c>
      <c r="D103" t="s">
        <v>778</v>
      </c>
      <c r="F103" t="s">
        <v>818</v>
      </c>
      <c r="G103" t="s">
        <v>664</v>
      </c>
      <c r="H103" t="s">
        <v>819</v>
      </c>
    </row>
    <row r="104" spans="1:8" x14ac:dyDescent="0.2">
      <c r="A104" t="s">
        <v>373</v>
      </c>
      <c r="B104" t="s">
        <v>746</v>
      </c>
      <c r="C104">
        <v>332</v>
      </c>
      <c r="D104" t="s">
        <v>704</v>
      </c>
      <c r="F104" t="s">
        <v>912</v>
      </c>
      <c r="G104" t="s">
        <v>701</v>
      </c>
      <c r="H104" t="s">
        <v>913</v>
      </c>
    </row>
    <row r="105" spans="1:8" x14ac:dyDescent="0.2">
      <c r="A105" t="s">
        <v>87</v>
      </c>
      <c r="B105" t="s">
        <v>668</v>
      </c>
      <c r="C105">
        <v>128</v>
      </c>
      <c r="D105" t="s">
        <v>704</v>
      </c>
      <c r="F105" t="s">
        <v>726</v>
      </c>
      <c r="G105" t="s">
        <v>637</v>
      </c>
      <c r="H105" t="s">
        <v>727</v>
      </c>
    </row>
    <row r="106" spans="1:8" x14ac:dyDescent="0.2">
      <c r="A106" t="s">
        <v>520</v>
      </c>
      <c r="B106" t="s">
        <v>999</v>
      </c>
      <c r="C106">
        <v>95</v>
      </c>
      <c r="D106" t="s">
        <v>704</v>
      </c>
      <c r="F106" t="s">
        <v>1003</v>
      </c>
      <c r="G106" t="s">
        <v>627</v>
      </c>
      <c r="H106" t="s">
        <v>1004</v>
      </c>
    </row>
    <row r="107" spans="1:8" x14ac:dyDescent="0.2">
      <c r="A107" t="s">
        <v>498</v>
      </c>
      <c r="B107" t="s">
        <v>993</v>
      </c>
      <c r="C107">
        <v>90</v>
      </c>
      <c r="D107" t="s">
        <v>821</v>
      </c>
      <c r="F107" t="s">
        <v>994</v>
      </c>
      <c r="G107" t="s">
        <v>899</v>
      </c>
      <c r="H107" t="s">
        <v>995</v>
      </c>
    </row>
    <row r="108" spans="1:8" x14ac:dyDescent="0.2">
      <c r="A108" t="s">
        <v>237</v>
      </c>
      <c r="B108" t="s">
        <v>837</v>
      </c>
      <c r="C108">
        <v>130</v>
      </c>
      <c r="D108" t="s">
        <v>624</v>
      </c>
      <c r="F108" t="s">
        <v>838</v>
      </c>
      <c r="G108" t="s">
        <v>643</v>
      </c>
      <c r="H108" t="s">
        <v>839</v>
      </c>
    </row>
    <row r="109" spans="1:8" x14ac:dyDescent="0.2">
      <c r="A109" t="s">
        <v>21</v>
      </c>
      <c r="B109" t="s">
        <v>658</v>
      </c>
      <c r="C109">
        <v>110</v>
      </c>
      <c r="D109" t="s">
        <v>624</v>
      </c>
      <c r="F109" t="s">
        <v>659</v>
      </c>
      <c r="G109" t="s">
        <v>614</v>
      </c>
      <c r="H109" t="s">
        <v>660</v>
      </c>
    </row>
    <row r="110" spans="1:8" x14ac:dyDescent="0.2">
      <c r="A110" t="s">
        <v>49</v>
      </c>
      <c r="B110" t="s">
        <v>668</v>
      </c>
      <c r="C110">
        <v>86</v>
      </c>
      <c r="D110" t="s">
        <v>611</v>
      </c>
      <c r="F110" t="s">
        <v>657</v>
      </c>
      <c r="G110" t="s">
        <v>690</v>
      </c>
      <c r="H110" t="s">
        <v>615</v>
      </c>
    </row>
    <row r="111" spans="1:8" x14ac:dyDescent="0.2">
      <c r="A111" t="s">
        <v>263</v>
      </c>
      <c r="B111" t="s">
        <v>648</v>
      </c>
      <c r="C111">
        <v>299</v>
      </c>
      <c r="D111" t="s">
        <v>649</v>
      </c>
      <c r="F111" t="s">
        <v>657</v>
      </c>
      <c r="G111" t="s">
        <v>754</v>
      </c>
      <c r="H111" t="s">
        <v>615</v>
      </c>
    </row>
    <row r="112" spans="1:8" x14ac:dyDescent="0.2">
      <c r="A112" t="s">
        <v>379</v>
      </c>
      <c r="B112" t="s">
        <v>668</v>
      </c>
      <c r="C112">
        <v>169</v>
      </c>
      <c r="D112" t="s">
        <v>669</v>
      </c>
      <c r="F112" t="s">
        <v>657</v>
      </c>
      <c r="G112" t="s">
        <v>646</v>
      </c>
      <c r="H112" t="s">
        <v>615</v>
      </c>
    </row>
    <row r="113" spans="1:8" x14ac:dyDescent="0.2">
      <c r="A113" t="s">
        <v>424</v>
      </c>
      <c r="B113" t="s">
        <v>656</v>
      </c>
      <c r="C113">
        <v>398</v>
      </c>
      <c r="D113" t="s">
        <v>694</v>
      </c>
      <c r="F113" t="s">
        <v>657</v>
      </c>
      <c r="G113" t="s">
        <v>664</v>
      </c>
      <c r="H113" t="s">
        <v>615</v>
      </c>
    </row>
    <row r="114" spans="1:8" x14ac:dyDescent="0.2">
      <c r="A114" t="s">
        <v>105</v>
      </c>
      <c r="B114" t="s">
        <v>648</v>
      </c>
      <c r="C114">
        <v>195</v>
      </c>
      <c r="D114" t="s">
        <v>743</v>
      </c>
      <c r="F114" t="s">
        <v>744</v>
      </c>
      <c r="G114" t="s">
        <v>701</v>
      </c>
      <c r="H114" t="s">
        <v>745</v>
      </c>
    </row>
    <row r="115" spans="1:8" x14ac:dyDescent="0.2">
      <c r="A115" t="s">
        <v>494</v>
      </c>
      <c r="B115" t="s">
        <v>988</v>
      </c>
      <c r="C115">
        <v>67</v>
      </c>
      <c r="D115" t="s">
        <v>611</v>
      </c>
      <c r="F115" t="s">
        <v>989</v>
      </c>
      <c r="G115" t="s">
        <v>614</v>
      </c>
      <c r="H115" t="s">
        <v>990</v>
      </c>
    </row>
    <row r="116" spans="1:8" x14ac:dyDescent="0.2">
      <c r="A116" t="s">
        <v>123</v>
      </c>
      <c r="B116" t="s">
        <v>760</v>
      </c>
      <c r="C116">
        <v>77</v>
      </c>
      <c r="D116" t="s">
        <v>696</v>
      </c>
      <c r="F116" t="s">
        <v>761</v>
      </c>
      <c r="G116" t="s">
        <v>633</v>
      </c>
      <c r="H116" t="s">
        <v>650</v>
      </c>
    </row>
    <row r="117" spans="1:8" x14ac:dyDescent="0.2">
      <c r="A117" t="s">
        <v>309</v>
      </c>
      <c r="B117" t="s">
        <v>871</v>
      </c>
      <c r="C117">
        <v>198</v>
      </c>
      <c r="D117" t="s">
        <v>669</v>
      </c>
      <c r="F117" t="s">
        <v>761</v>
      </c>
      <c r="G117" t="s">
        <v>614</v>
      </c>
      <c r="H117" t="s">
        <v>650</v>
      </c>
    </row>
    <row r="118" spans="1:8" x14ac:dyDescent="0.2">
      <c r="A118" t="s">
        <v>530</v>
      </c>
      <c r="B118" t="s">
        <v>629</v>
      </c>
      <c r="C118">
        <v>399</v>
      </c>
      <c r="D118" t="s">
        <v>635</v>
      </c>
      <c r="F118" t="s">
        <v>636</v>
      </c>
      <c r="G118" t="s">
        <v>664</v>
      </c>
      <c r="H118" t="s">
        <v>638</v>
      </c>
    </row>
    <row r="119" spans="1:8" x14ac:dyDescent="0.2">
      <c r="A119" t="s">
        <v>23</v>
      </c>
      <c r="B119" t="s">
        <v>661</v>
      </c>
      <c r="C119">
        <v>65</v>
      </c>
      <c r="D119" t="s">
        <v>662</v>
      </c>
      <c r="E119" t="s">
        <v>663</v>
      </c>
      <c r="F119" t="s">
        <v>663</v>
      </c>
      <c r="G119" t="s">
        <v>664</v>
      </c>
      <c r="H119" t="s">
        <v>665</v>
      </c>
    </row>
    <row r="120" spans="1:8" x14ac:dyDescent="0.2">
      <c r="A120" t="s">
        <v>77</v>
      </c>
      <c r="B120" t="s">
        <v>708</v>
      </c>
      <c r="C120">
        <v>100</v>
      </c>
      <c r="D120" t="s">
        <v>712</v>
      </c>
      <c r="F120" t="s">
        <v>663</v>
      </c>
      <c r="G120" t="s">
        <v>701</v>
      </c>
      <c r="H120" t="s">
        <v>713</v>
      </c>
    </row>
    <row r="121" spans="1:8" x14ac:dyDescent="0.2">
      <c r="A121" t="s">
        <v>135</v>
      </c>
      <c r="B121" t="s">
        <v>610</v>
      </c>
      <c r="C121">
        <v>549</v>
      </c>
      <c r="D121" t="s">
        <v>766</v>
      </c>
      <c r="E121" t="s">
        <v>663</v>
      </c>
      <c r="F121" t="s">
        <v>663</v>
      </c>
      <c r="G121" t="s">
        <v>627</v>
      </c>
      <c r="H121" t="s">
        <v>715</v>
      </c>
    </row>
    <row r="122" spans="1:8" x14ac:dyDescent="0.2">
      <c r="A122" t="s">
        <v>137</v>
      </c>
      <c r="B122" t="s">
        <v>610</v>
      </c>
      <c r="C122">
        <v>549</v>
      </c>
      <c r="D122" t="s">
        <v>766</v>
      </c>
      <c r="E122" t="s">
        <v>663</v>
      </c>
      <c r="F122" t="s">
        <v>663</v>
      </c>
      <c r="G122" t="s">
        <v>627</v>
      </c>
      <c r="H122" t="s">
        <v>715</v>
      </c>
    </row>
    <row r="123" spans="1:8" x14ac:dyDescent="0.2">
      <c r="A123" t="s">
        <v>177</v>
      </c>
      <c r="B123" t="s">
        <v>802</v>
      </c>
      <c r="C123">
        <v>34</v>
      </c>
      <c r="D123" t="s">
        <v>803</v>
      </c>
      <c r="F123" t="s">
        <v>663</v>
      </c>
      <c r="G123" t="s">
        <v>804</v>
      </c>
      <c r="H123" t="s">
        <v>805</v>
      </c>
    </row>
    <row r="124" spans="1:8" x14ac:dyDescent="0.2">
      <c r="A124" t="s">
        <v>371</v>
      </c>
      <c r="B124" t="s">
        <v>746</v>
      </c>
      <c r="C124">
        <v>225</v>
      </c>
      <c r="D124" t="s">
        <v>704</v>
      </c>
      <c r="E124" t="s">
        <v>663</v>
      </c>
      <c r="F124" t="s">
        <v>663</v>
      </c>
      <c r="G124" t="s">
        <v>614</v>
      </c>
      <c r="H124" t="s">
        <v>824</v>
      </c>
    </row>
    <row r="125" spans="1:8" x14ac:dyDescent="0.2">
      <c r="A125" t="s">
        <v>383</v>
      </c>
      <c r="B125" t="s">
        <v>748</v>
      </c>
      <c r="C125">
        <v>388</v>
      </c>
      <c r="D125" t="s">
        <v>721</v>
      </c>
      <c r="E125" t="s">
        <v>663</v>
      </c>
      <c r="F125" t="s">
        <v>663</v>
      </c>
      <c r="G125" t="s">
        <v>643</v>
      </c>
      <c r="H125" t="s">
        <v>615</v>
      </c>
    </row>
    <row r="126" spans="1:8" x14ac:dyDescent="0.2">
      <c r="A126" t="s">
        <v>500</v>
      </c>
      <c r="B126" t="s">
        <v>993</v>
      </c>
      <c r="C126">
        <v>60</v>
      </c>
      <c r="D126" t="s">
        <v>696</v>
      </c>
      <c r="E126" t="s">
        <v>663</v>
      </c>
      <c r="F126" t="s">
        <v>663</v>
      </c>
      <c r="G126" t="s">
        <v>643</v>
      </c>
      <c r="H126" t="s">
        <v>996</v>
      </c>
    </row>
    <row r="127" spans="1:8" x14ac:dyDescent="0.2">
      <c r="A127" t="s">
        <v>546</v>
      </c>
      <c r="B127" t="s">
        <v>708</v>
      </c>
      <c r="C127">
        <v>60</v>
      </c>
      <c r="D127" t="s">
        <v>704</v>
      </c>
      <c r="F127" t="s">
        <v>663</v>
      </c>
      <c r="G127" t="s">
        <v>673</v>
      </c>
      <c r="H127" t="s">
        <v>1016</v>
      </c>
    </row>
    <row r="128" spans="1:8" x14ac:dyDescent="0.2">
      <c r="A128" t="s">
        <v>568</v>
      </c>
      <c r="B128" t="s">
        <v>639</v>
      </c>
      <c r="C128">
        <v>50</v>
      </c>
      <c r="D128" t="s">
        <v>957</v>
      </c>
      <c r="F128" t="s">
        <v>663</v>
      </c>
      <c r="G128" t="s">
        <v>643</v>
      </c>
      <c r="H128" t="s">
        <v>1031</v>
      </c>
    </row>
    <row r="129" spans="1:8" x14ac:dyDescent="0.2">
      <c r="A129" t="s">
        <v>572</v>
      </c>
      <c r="B129" t="s">
        <v>639</v>
      </c>
      <c r="C129">
        <v>50</v>
      </c>
      <c r="D129" t="s">
        <v>957</v>
      </c>
      <c r="E129" t="s">
        <v>663</v>
      </c>
      <c r="F129" t="s">
        <v>663</v>
      </c>
      <c r="G129" t="s">
        <v>664</v>
      </c>
      <c r="H129" t="s">
        <v>647</v>
      </c>
    </row>
    <row r="130" spans="1:8" x14ac:dyDescent="0.2">
      <c r="A130" t="s">
        <v>101</v>
      </c>
      <c r="B130" t="s">
        <v>737</v>
      </c>
      <c r="C130">
        <v>70</v>
      </c>
      <c r="D130" t="s">
        <v>738</v>
      </c>
      <c r="F130" t="s">
        <v>739</v>
      </c>
      <c r="G130" t="s">
        <v>614</v>
      </c>
      <c r="H130" t="s">
        <v>647</v>
      </c>
    </row>
    <row r="131" spans="1:8" x14ac:dyDescent="0.2">
      <c r="A131" t="s">
        <v>103</v>
      </c>
      <c r="B131" t="s">
        <v>740</v>
      </c>
      <c r="C131">
        <v>102</v>
      </c>
      <c r="D131" t="s">
        <v>675</v>
      </c>
      <c r="F131" t="s">
        <v>741</v>
      </c>
      <c r="G131" t="s">
        <v>614</v>
      </c>
      <c r="H131" t="s">
        <v>742</v>
      </c>
    </row>
    <row r="132" spans="1:8" x14ac:dyDescent="0.2">
      <c r="A132" t="s">
        <v>385</v>
      </c>
      <c r="B132" t="s">
        <v>748</v>
      </c>
      <c r="C132">
        <v>549</v>
      </c>
      <c r="D132" t="s">
        <v>916</v>
      </c>
      <c r="F132" t="s">
        <v>917</v>
      </c>
      <c r="G132" t="s">
        <v>690</v>
      </c>
      <c r="H132" t="s">
        <v>700</v>
      </c>
    </row>
    <row r="133" spans="1:8" x14ac:dyDescent="0.2">
      <c r="A133" t="s">
        <v>85</v>
      </c>
      <c r="B133" t="s">
        <v>668</v>
      </c>
      <c r="C133">
        <v>51</v>
      </c>
      <c r="D133" t="s">
        <v>723</v>
      </c>
      <c r="F133" t="s">
        <v>724</v>
      </c>
      <c r="G133" t="s">
        <v>637</v>
      </c>
      <c r="H133" t="s">
        <v>725</v>
      </c>
    </row>
    <row r="134" spans="1:8" x14ac:dyDescent="0.2">
      <c r="A134" t="s">
        <v>291</v>
      </c>
      <c r="B134" t="s">
        <v>648</v>
      </c>
      <c r="C134">
        <v>799</v>
      </c>
      <c r="D134" t="s">
        <v>864</v>
      </c>
      <c r="F134" t="s">
        <v>707</v>
      </c>
      <c r="G134" t="s">
        <v>664</v>
      </c>
      <c r="H134" t="s">
        <v>682</v>
      </c>
    </row>
    <row r="135" spans="1:8" x14ac:dyDescent="0.2">
      <c r="A135" t="s">
        <v>3</v>
      </c>
      <c r="B135" t="s">
        <v>623</v>
      </c>
      <c r="C135">
        <v>140</v>
      </c>
      <c r="D135" t="s">
        <v>624</v>
      </c>
      <c r="E135" t="s">
        <v>625</v>
      </c>
      <c r="F135" t="s">
        <v>626</v>
      </c>
      <c r="G135" t="s">
        <v>627</v>
      </c>
      <c r="H135" t="s">
        <v>628</v>
      </c>
    </row>
    <row r="136" spans="1:8" x14ac:dyDescent="0.2">
      <c r="A136" t="s">
        <v>37</v>
      </c>
      <c r="B136" t="s">
        <v>678</v>
      </c>
      <c r="C136">
        <v>100</v>
      </c>
      <c r="D136" t="s">
        <v>624</v>
      </c>
      <c r="E136" t="s">
        <v>626</v>
      </c>
      <c r="F136" t="s">
        <v>626</v>
      </c>
      <c r="G136" t="s">
        <v>664</v>
      </c>
      <c r="H136" t="s">
        <v>679</v>
      </c>
    </row>
    <row r="137" spans="1:8" x14ac:dyDescent="0.2">
      <c r="A137" t="s">
        <v>47</v>
      </c>
      <c r="B137" t="s">
        <v>693</v>
      </c>
      <c r="C137">
        <v>200</v>
      </c>
      <c r="D137" t="s">
        <v>694</v>
      </c>
      <c r="E137" t="s">
        <v>626</v>
      </c>
      <c r="F137" t="s">
        <v>626</v>
      </c>
      <c r="G137" t="s">
        <v>664</v>
      </c>
      <c r="H137" t="s">
        <v>695</v>
      </c>
    </row>
    <row r="138" spans="1:8" x14ac:dyDescent="0.2">
      <c r="A138" t="s">
        <v>143</v>
      </c>
      <c r="B138" t="s">
        <v>767</v>
      </c>
      <c r="C138">
        <v>130</v>
      </c>
      <c r="D138" t="s">
        <v>649</v>
      </c>
      <c r="E138" t="s">
        <v>626</v>
      </c>
      <c r="F138" t="s">
        <v>626</v>
      </c>
      <c r="G138" t="s">
        <v>627</v>
      </c>
      <c r="H138" t="s">
        <v>768</v>
      </c>
    </row>
    <row r="139" spans="1:8" x14ac:dyDescent="0.2">
      <c r="A139" t="s">
        <v>167</v>
      </c>
      <c r="B139" t="s">
        <v>740</v>
      </c>
      <c r="C139">
        <v>90</v>
      </c>
      <c r="D139" t="s">
        <v>732</v>
      </c>
      <c r="E139" t="s">
        <v>626</v>
      </c>
      <c r="F139" t="s">
        <v>626</v>
      </c>
      <c r="G139" t="s">
        <v>614</v>
      </c>
      <c r="H139" t="s">
        <v>793</v>
      </c>
    </row>
    <row r="140" spans="1:8" x14ac:dyDescent="0.2">
      <c r="A140" t="s">
        <v>175</v>
      </c>
      <c r="B140" t="s">
        <v>799</v>
      </c>
      <c r="C140">
        <v>41</v>
      </c>
      <c r="D140" t="s">
        <v>800</v>
      </c>
      <c r="E140" t="s">
        <v>626</v>
      </c>
      <c r="F140" t="s">
        <v>626</v>
      </c>
      <c r="G140" t="s">
        <v>690</v>
      </c>
      <c r="H140" t="s">
        <v>801</v>
      </c>
    </row>
    <row r="141" spans="1:8" x14ac:dyDescent="0.2">
      <c r="A141" t="s">
        <v>191</v>
      </c>
      <c r="B141" t="s">
        <v>815</v>
      </c>
      <c r="C141">
        <v>120</v>
      </c>
      <c r="D141" t="s">
        <v>816</v>
      </c>
      <c r="E141" t="s">
        <v>626</v>
      </c>
      <c r="F141" t="s">
        <v>626</v>
      </c>
      <c r="G141" t="s">
        <v>633</v>
      </c>
      <c r="H141" t="s">
        <v>615</v>
      </c>
    </row>
    <row r="142" spans="1:8" x14ac:dyDescent="0.2">
      <c r="A142" t="s">
        <v>215</v>
      </c>
      <c r="B142" t="s">
        <v>828</v>
      </c>
      <c r="C142">
        <v>567</v>
      </c>
      <c r="D142" t="s">
        <v>829</v>
      </c>
      <c r="E142" t="s">
        <v>626</v>
      </c>
      <c r="F142" t="s">
        <v>626</v>
      </c>
      <c r="G142" t="s">
        <v>664</v>
      </c>
      <c r="H142" t="s">
        <v>830</v>
      </c>
    </row>
    <row r="143" spans="1:8" x14ac:dyDescent="0.2">
      <c r="A143" t="s">
        <v>217</v>
      </c>
      <c r="B143" t="s">
        <v>828</v>
      </c>
      <c r="C143">
        <v>1404</v>
      </c>
      <c r="D143" t="s">
        <v>694</v>
      </c>
      <c r="E143" t="s">
        <v>626</v>
      </c>
      <c r="F143" t="s">
        <v>626</v>
      </c>
      <c r="G143" t="s">
        <v>643</v>
      </c>
      <c r="H143" t="s">
        <v>644</v>
      </c>
    </row>
    <row r="144" spans="1:8" x14ac:dyDescent="0.2">
      <c r="A144" t="s">
        <v>225</v>
      </c>
      <c r="B144" t="s">
        <v>828</v>
      </c>
      <c r="C144">
        <v>695</v>
      </c>
      <c r="D144" t="s">
        <v>831</v>
      </c>
      <c r="E144" t="s">
        <v>626</v>
      </c>
      <c r="F144" t="s">
        <v>626</v>
      </c>
      <c r="G144" t="s">
        <v>614</v>
      </c>
      <c r="H144" t="s">
        <v>644</v>
      </c>
    </row>
    <row r="145" spans="1:8" x14ac:dyDescent="0.2">
      <c r="A145" t="s">
        <v>295</v>
      </c>
      <c r="B145" t="s">
        <v>648</v>
      </c>
      <c r="C145">
        <v>137</v>
      </c>
      <c r="D145" t="s">
        <v>821</v>
      </c>
      <c r="E145" t="s">
        <v>626</v>
      </c>
      <c r="F145" t="s">
        <v>626</v>
      </c>
      <c r="G145" t="s">
        <v>664</v>
      </c>
      <c r="H145" t="s">
        <v>615</v>
      </c>
    </row>
    <row r="146" spans="1:8" x14ac:dyDescent="0.2">
      <c r="A146" t="s">
        <v>331</v>
      </c>
      <c r="B146" t="s">
        <v>610</v>
      </c>
      <c r="C146">
        <v>589</v>
      </c>
      <c r="D146" t="s">
        <v>884</v>
      </c>
      <c r="E146" t="s">
        <v>626</v>
      </c>
      <c r="F146" t="s">
        <v>626</v>
      </c>
      <c r="G146" t="s">
        <v>690</v>
      </c>
      <c r="H146" t="s">
        <v>885</v>
      </c>
    </row>
    <row r="147" spans="1:8" x14ac:dyDescent="0.2">
      <c r="A147" t="s">
        <v>333</v>
      </c>
      <c r="B147" t="s">
        <v>692</v>
      </c>
      <c r="C147">
        <v>65</v>
      </c>
      <c r="D147" t="s">
        <v>696</v>
      </c>
      <c r="F147" t="s">
        <v>626</v>
      </c>
      <c r="G147" t="s">
        <v>646</v>
      </c>
      <c r="H147" t="s">
        <v>886</v>
      </c>
    </row>
    <row r="148" spans="1:8" x14ac:dyDescent="0.2">
      <c r="A148" t="s">
        <v>357</v>
      </c>
      <c r="B148" t="s">
        <v>900</v>
      </c>
      <c r="C148">
        <v>180</v>
      </c>
      <c r="D148" t="s">
        <v>903</v>
      </c>
      <c r="E148" t="s">
        <v>626</v>
      </c>
      <c r="F148" t="s">
        <v>626</v>
      </c>
      <c r="G148" t="s">
        <v>690</v>
      </c>
      <c r="H148" t="s">
        <v>904</v>
      </c>
    </row>
    <row r="149" spans="1:8" x14ac:dyDescent="0.2">
      <c r="A149" t="s">
        <v>405</v>
      </c>
      <c r="B149" t="s">
        <v>930</v>
      </c>
      <c r="C149">
        <v>150</v>
      </c>
      <c r="D149" t="s">
        <v>931</v>
      </c>
      <c r="E149" t="s">
        <v>626</v>
      </c>
      <c r="F149" t="s">
        <v>626</v>
      </c>
      <c r="G149" t="s">
        <v>664</v>
      </c>
      <c r="H149" t="s">
        <v>932</v>
      </c>
    </row>
    <row r="150" spans="1:8" x14ac:dyDescent="0.2">
      <c r="A150" t="s">
        <v>410</v>
      </c>
      <c r="B150" t="s">
        <v>674</v>
      </c>
      <c r="C150">
        <v>148</v>
      </c>
      <c r="D150" t="s">
        <v>649</v>
      </c>
      <c r="E150" t="s">
        <v>626</v>
      </c>
      <c r="F150" t="s">
        <v>626</v>
      </c>
      <c r="G150" t="s">
        <v>614</v>
      </c>
      <c r="H150" t="s">
        <v>936</v>
      </c>
    </row>
    <row r="151" spans="1:8" x14ac:dyDescent="0.2">
      <c r="A151" t="s">
        <v>412</v>
      </c>
      <c r="B151" t="s">
        <v>782</v>
      </c>
      <c r="C151">
        <v>93</v>
      </c>
      <c r="D151" t="s">
        <v>624</v>
      </c>
      <c r="E151" t="s">
        <v>626</v>
      </c>
      <c r="F151" t="s">
        <v>626</v>
      </c>
      <c r="G151" t="s">
        <v>937</v>
      </c>
      <c r="H151" t="s">
        <v>938</v>
      </c>
    </row>
    <row r="152" spans="1:8" x14ac:dyDescent="0.2">
      <c r="A152" t="s">
        <v>444</v>
      </c>
      <c r="B152" t="s">
        <v>623</v>
      </c>
      <c r="C152">
        <v>190</v>
      </c>
      <c r="D152" t="s">
        <v>957</v>
      </c>
      <c r="E152" t="s">
        <v>958</v>
      </c>
      <c r="F152" t="s">
        <v>626</v>
      </c>
      <c r="G152" t="s">
        <v>701</v>
      </c>
      <c r="H152" t="s">
        <v>959</v>
      </c>
    </row>
    <row r="153" spans="1:8" x14ac:dyDescent="0.2">
      <c r="A153" t="s">
        <v>456</v>
      </c>
      <c r="B153" t="s">
        <v>960</v>
      </c>
      <c r="C153">
        <v>300</v>
      </c>
      <c r="D153" t="s">
        <v>611</v>
      </c>
      <c r="E153" t="s">
        <v>626</v>
      </c>
      <c r="F153" t="s">
        <v>626</v>
      </c>
      <c r="G153" t="s">
        <v>888</v>
      </c>
      <c r="H153" t="s">
        <v>961</v>
      </c>
    </row>
    <row r="154" spans="1:8" x14ac:dyDescent="0.2">
      <c r="A154" t="s">
        <v>458</v>
      </c>
      <c r="B154" t="s">
        <v>960</v>
      </c>
      <c r="C154">
        <v>300</v>
      </c>
      <c r="D154" t="s">
        <v>611</v>
      </c>
      <c r="E154" t="s">
        <v>626</v>
      </c>
      <c r="F154" t="s">
        <v>626</v>
      </c>
      <c r="G154" t="s">
        <v>888</v>
      </c>
      <c r="H154" t="s">
        <v>962</v>
      </c>
    </row>
    <row r="155" spans="1:8" x14ac:dyDescent="0.2">
      <c r="A155" t="s">
        <v>460</v>
      </c>
      <c r="B155" t="s">
        <v>960</v>
      </c>
      <c r="C155">
        <v>380</v>
      </c>
      <c r="D155" t="s">
        <v>611</v>
      </c>
      <c r="E155" t="s">
        <v>626</v>
      </c>
      <c r="F155" t="s">
        <v>626</v>
      </c>
      <c r="G155" t="s">
        <v>664</v>
      </c>
      <c r="H155" t="s">
        <v>963</v>
      </c>
    </row>
    <row r="156" spans="1:8" x14ac:dyDescent="0.2">
      <c r="A156" t="s">
        <v>462</v>
      </c>
      <c r="B156" t="s">
        <v>960</v>
      </c>
      <c r="C156">
        <v>300</v>
      </c>
      <c r="D156" t="s">
        <v>611</v>
      </c>
      <c r="E156" t="s">
        <v>626</v>
      </c>
      <c r="F156" t="s">
        <v>626</v>
      </c>
      <c r="G156" t="s">
        <v>633</v>
      </c>
      <c r="H156" t="s">
        <v>961</v>
      </c>
    </row>
    <row r="157" spans="1:8" x14ac:dyDescent="0.2">
      <c r="A157" t="s">
        <v>506</v>
      </c>
      <c r="B157" t="s">
        <v>993</v>
      </c>
      <c r="C157">
        <v>165</v>
      </c>
      <c r="D157" t="s">
        <v>652</v>
      </c>
      <c r="E157" t="s">
        <v>626</v>
      </c>
      <c r="F157" t="s">
        <v>626</v>
      </c>
      <c r="G157" t="s">
        <v>673</v>
      </c>
      <c r="H157" t="s">
        <v>998</v>
      </c>
    </row>
    <row r="158" spans="1:8" x14ac:dyDescent="0.2">
      <c r="A158" t="s">
        <v>532</v>
      </c>
      <c r="B158" t="s">
        <v>629</v>
      </c>
      <c r="C158">
        <v>1309</v>
      </c>
      <c r="D158" t="s">
        <v>1009</v>
      </c>
      <c r="E158" t="s">
        <v>626</v>
      </c>
      <c r="F158" t="s">
        <v>626</v>
      </c>
      <c r="G158" t="s">
        <v>1010</v>
      </c>
      <c r="H158" t="s">
        <v>1011</v>
      </c>
    </row>
    <row r="159" spans="1:8" x14ac:dyDescent="0.2">
      <c r="A159" t="s">
        <v>544</v>
      </c>
      <c r="B159" t="s">
        <v>708</v>
      </c>
      <c r="C159">
        <v>44</v>
      </c>
      <c r="D159" t="s">
        <v>709</v>
      </c>
      <c r="E159" t="s">
        <v>626</v>
      </c>
      <c r="F159" t="s">
        <v>626</v>
      </c>
      <c r="G159" t="s">
        <v>701</v>
      </c>
      <c r="H159" t="s">
        <v>1015</v>
      </c>
    </row>
    <row r="160" spans="1:8" x14ac:dyDescent="0.2">
      <c r="A160" t="s">
        <v>576</v>
      </c>
      <c r="B160" t="s">
        <v>1037</v>
      </c>
      <c r="C160">
        <v>275</v>
      </c>
      <c r="D160" t="s">
        <v>1038</v>
      </c>
      <c r="E160" t="s">
        <v>626</v>
      </c>
      <c r="F160" t="s">
        <v>626</v>
      </c>
      <c r="G160" t="s">
        <v>664</v>
      </c>
      <c r="H160" t="s">
        <v>686</v>
      </c>
    </row>
    <row r="161" spans="1:8" x14ac:dyDescent="0.2">
      <c r="A161" t="s">
        <v>5</v>
      </c>
      <c r="C161">
        <v>670</v>
      </c>
    </row>
    <row r="162" spans="1:8" x14ac:dyDescent="0.2">
      <c r="A162" t="s">
        <v>9</v>
      </c>
      <c r="C162">
        <v>398</v>
      </c>
    </row>
    <row r="163" spans="1:8" x14ac:dyDescent="0.2">
      <c r="A163" t="s">
        <v>13</v>
      </c>
      <c r="B163" t="s">
        <v>645</v>
      </c>
      <c r="C163">
        <v>66</v>
      </c>
      <c r="D163" t="s">
        <v>624</v>
      </c>
      <c r="G163" t="s">
        <v>646</v>
      </c>
      <c r="H163" t="s">
        <v>647</v>
      </c>
    </row>
    <row r="164" spans="1:8" x14ac:dyDescent="0.2">
      <c r="A164" t="s">
        <v>14</v>
      </c>
      <c r="C164">
        <v>89</v>
      </c>
    </row>
    <row r="165" spans="1:8" x14ac:dyDescent="0.2">
      <c r="A165" t="s">
        <v>15</v>
      </c>
      <c r="C165">
        <v>89</v>
      </c>
    </row>
    <row r="166" spans="1:8" x14ac:dyDescent="0.2">
      <c r="A166" t="s">
        <v>19</v>
      </c>
      <c r="C166">
        <v>64</v>
      </c>
    </row>
    <row r="167" spans="1:8" x14ac:dyDescent="0.2">
      <c r="A167" t="s">
        <v>29</v>
      </c>
      <c r="C167">
        <v>174</v>
      </c>
    </row>
    <row r="168" spans="1:8" x14ac:dyDescent="0.2">
      <c r="A168" t="s">
        <v>31</v>
      </c>
      <c r="C168">
        <v>209</v>
      </c>
    </row>
    <row r="169" spans="1:8" x14ac:dyDescent="0.2">
      <c r="A169" t="s">
        <v>33</v>
      </c>
    </row>
    <row r="170" spans="1:8" x14ac:dyDescent="0.2">
      <c r="A170" t="s">
        <v>35</v>
      </c>
      <c r="B170" t="s">
        <v>645</v>
      </c>
      <c r="C170">
        <v>92</v>
      </c>
      <c r="D170" t="s">
        <v>675</v>
      </c>
      <c r="G170" t="s">
        <v>676</v>
      </c>
      <c r="H170" t="s">
        <v>677</v>
      </c>
    </row>
    <row r="171" spans="1:8" x14ac:dyDescent="0.2">
      <c r="A171" t="s">
        <v>45</v>
      </c>
      <c r="C171">
        <v>20</v>
      </c>
    </row>
    <row r="172" spans="1:8" x14ac:dyDescent="0.2">
      <c r="A172" t="s">
        <v>51</v>
      </c>
    </row>
    <row r="173" spans="1:8" x14ac:dyDescent="0.2">
      <c r="A173" t="s">
        <v>59</v>
      </c>
      <c r="C173">
        <v>389</v>
      </c>
    </row>
    <row r="174" spans="1:8" x14ac:dyDescent="0.2">
      <c r="A174" t="s">
        <v>61</v>
      </c>
      <c r="C174">
        <v>396</v>
      </c>
    </row>
    <row r="175" spans="1:8" x14ac:dyDescent="0.2">
      <c r="A175" t="s">
        <v>63</v>
      </c>
    </row>
    <row r="176" spans="1:8" x14ac:dyDescent="0.2">
      <c r="A176" t="s">
        <v>65</v>
      </c>
      <c r="C176">
        <v>1199</v>
      </c>
    </row>
    <row r="177" spans="1:8" x14ac:dyDescent="0.2">
      <c r="A177" t="s">
        <v>67</v>
      </c>
      <c r="C177">
        <v>349</v>
      </c>
    </row>
    <row r="178" spans="1:8" x14ac:dyDescent="0.2">
      <c r="A178" t="s">
        <v>69</v>
      </c>
    </row>
    <row r="179" spans="1:8" x14ac:dyDescent="0.2">
      <c r="A179" t="s">
        <v>71</v>
      </c>
      <c r="B179" t="s">
        <v>705</v>
      </c>
      <c r="C179">
        <v>100</v>
      </c>
      <c r="D179" t="s">
        <v>696</v>
      </c>
      <c r="G179" t="s">
        <v>643</v>
      </c>
      <c r="H179" t="s">
        <v>706</v>
      </c>
    </row>
    <row r="180" spans="1:8" x14ac:dyDescent="0.2">
      <c r="A180" t="s">
        <v>73</v>
      </c>
      <c r="C180">
        <v>64</v>
      </c>
    </row>
    <row r="181" spans="1:8" x14ac:dyDescent="0.2">
      <c r="A181" t="s">
        <v>93</v>
      </c>
      <c r="C181">
        <v>121</v>
      </c>
    </row>
    <row r="182" spans="1:8" x14ac:dyDescent="0.2">
      <c r="A182" t="s">
        <v>95</v>
      </c>
    </row>
    <row r="183" spans="1:8" x14ac:dyDescent="0.2">
      <c r="A183" t="s">
        <v>97</v>
      </c>
      <c r="C183">
        <v>35</v>
      </c>
    </row>
    <row r="184" spans="1:8" x14ac:dyDescent="0.2">
      <c r="A184" t="s">
        <v>107</v>
      </c>
      <c r="C184">
        <v>498</v>
      </c>
    </row>
    <row r="185" spans="1:8" x14ac:dyDescent="0.2">
      <c r="A185" t="s">
        <v>119</v>
      </c>
      <c r="B185" t="s">
        <v>759</v>
      </c>
      <c r="C185">
        <v>329</v>
      </c>
      <c r="D185" t="s">
        <v>611</v>
      </c>
      <c r="G185" t="s">
        <v>690</v>
      </c>
    </row>
    <row r="186" spans="1:8" x14ac:dyDescent="0.2">
      <c r="A186" t="s">
        <v>121</v>
      </c>
      <c r="C186">
        <v>99</v>
      </c>
    </row>
    <row r="187" spans="1:8" x14ac:dyDescent="0.2">
      <c r="A187" t="s">
        <v>127</v>
      </c>
      <c r="C187">
        <v>100</v>
      </c>
    </row>
    <row r="188" spans="1:8" x14ac:dyDescent="0.2">
      <c r="A188" t="s">
        <v>131</v>
      </c>
      <c r="C188">
        <v>350</v>
      </c>
    </row>
    <row r="189" spans="1:8" x14ac:dyDescent="0.2">
      <c r="A189" t="s">
        <v>133</v>
      </c>
    </row>
    <row r="190" spans="1:8" x14ac:dyDescent="0.2">
      <c r="A190" t="s">
        <v>139</v>
      </c>
      <c r="C190">
        <v>300</v>
      </c>
    </row>
    <row r="191" spans="1:8" x14ac:dyDescent="0.2">
      <c r="A191" t="s">
        <v>141</v>
      </c>
      <c r="C191">
        <v>397</v>
      </c>
    </row>
    <row r="192" spans="1:8" x14ac:dyDescent="0.2">
      <c r="A192" t="s">
        <v>149</v>
      </c>
      <c r="B192" t="s">
        <v>775</v>
      </c>
      <c r="C192">
        <v>130</v>
      </c>
      <c r="D192" t="s">
        <v>712</v>
      </c>
      <c r="G192" t="s">
        <v>643</v>
      </c>
      <c r="H192" t="s">
        <v>776</v>
      </c>
    </row>
    <row r="193" spans="1:8" x14ac:dyDescent="0.2">
      <c r="A193" t="s">
        <v>151</v>
      </c>
      <c r="B193" t="s">
        <v>777</v>
      </c>
      <c r="C193">
        <v>28</v>
      </c>
      <c r="D193" t="s">
        <v>778</v>
      </c>
      <c r="G193" t="s">
        <v>614</v>
      </c>
      <c r="H193" t="s">
        <v>647</v>
      </c>
    </row>
    <row r="194" spans="1:8" x14ac:dyDescent="0.2">
      <c r="A194" t="s">
        <v>153</v>
      </c>
      <c r="B194" t="s">
        <v>779</v>
      </c>
      <c r="C194">
        <v>37</v>
      </c>
      <c r="D194" t="s">
        <v>780</v>
      </c>
      <c r="G194" t="s">
        <v>627</v>
      </c>
      <c r="H194" t="s">
        <v>781</v>
      </c>
    </row>
    <row r="195" spans="1:8" x14ac:dyDescent="0.2">
      <c r="A195" t="s">
        <v>157</v>
      </c>
      <c r="B195" t="s">
        <v>785</v>
      </c>
      <c r="C195">
        <v>120</v>
      </c>
      <c r="G195" t="s">
        <v>654</v>
      </c>
    </row>
    <row r="196" spans="1:8" x14ac:dyDescent="0.2">
      <c r="A196" t="s">
        <v>159</v>
      </c>
      <c r="B196" t="s">
        <v>786</v>
      </c>
      <c r="C196">
        <v>37</v>
      </c>
      <c r="D196" t="s">
        <v>624</v>
      </c>
      <c r="G196" t="s">
        <v>643</v>
      </c>
      <c r="H196" t="s">
        <v>787</v>
      </c>
    </row>
    <row r="197" spans="1:8" x14ac:dyDescent="0.2">
      <c r="A197" t="s">
        <v>169</v>
      </c>
      <c r="B197" t="s">
        <v>794</v>
      </c>
      <c r="C197">
        <v>60</v>
      </c>
      <c r="D197" t="s">
        <v>728</v>
      </c>
      <c r="G197" t="s">
        <v>643</v>
      </c>
      <c r="H197" t="s">
        <v>795</v>
      </c>
    </row>
    <row r="198" spans="1:8" x14ac:dyDescent="0.2">
      <c r="A198" t="s">
        <v>171</v>
      </c>
      <c r="B198" t="s">
        <v>796</v>
      </c>
      <c r="C198">
        <v>85</v>
      </c>
      <c r="D198" t="s">
        <v>797</v>
      </c>
      <c r="G198" t="s">
        <v>673</v>
      </c>
      <c r="H198" t="s">
        <v>647</v>
      </c>
    </row>
    <row r="199" spans="1:8" x14ac:dyDescent="0.2">
      <c r="A199" t="s">
        <v>179</v>
      </c>
    </row>
    <row r="200" spans="1:8" x14ac:dyDescent="0.2">
      <c r="A200" t="s">
        <v>187</v>
      </c>
      <c r="C200">
        <v>270</v>
      </c>
    </row>
    <row r="201" spans="1:8" x14ac:dyDescent="0.2">
      <c r="A201" t="s">
        <v>189</v>
      </c>
      <c r="C201">
        <v>299</v>
      </c>
    </row>
    <row r="202" spans="1:8" x14ac:dyDescent="0.2">
      <c r="A202" t="s">
        <v>195</v>
      </c>
      <c r="B202" t="s">
        <v>645</v>
      </c>
      <c r="C202">
        <v>46</v>
      </c>
      <c r="D202" t="s">
        <v>820</v>
      </c>
      <c r="G202" t="s">
        <v>654</v>
      </c>
    </row>
    <row r="203" spans="1:8" x14ac:dyDescent="0.2">
      <c r="A203" t="s">
        <v>197</v>
      </c>
      <c r="C203">
        <v>300</v>
      </c>
    </row>
    <row r="204" spans="1:8" x14ac:dyDescent="0.2">
      <c r="A204" t="s">
        <v>199</v>
      </c>
      <c r="C204">
        <v>12</v>
      </c>
    </row>
    <row r="205" spans="1:8" x14ac:dyDescent="0.2">
      <c r="A205" t="s">
        <v>201</v>
      </c>
      <c r="C205">
        <v>350</v>
      </c>
    </row>
    <row r="206" spans="1:8" x14ac:dyDescent="0.2">
      <c r="A206" t="s">
        <v>203</v>
      </c>
    </row>
    <row r="207" spans="1:8" x14ac:dyDescent="0.2">
      <c r="A207" t="s">
        <v>205</v>
      </c>
      <c r="C207">
        <v>28</v>
      </c>
    </row>
    <row r="208" spans="1:8" x14ac:dyDescent="0.2">
      <c r="A208" t="s">
        <v>207</v>
      </c>
    </row>
    <row r="209" spans="1:8" x14ac:dyDescent="0.2">
      <c r="A209" t="s">
        <v>211</v>
      </c>
      <c r="B209" t="s">
        <v>823</v>
      </c>
      <c r="C209">
        <v>119</v>
      </c>
      <c r="G209" t="s">
        <v>627</v>
      </c>
    </row>
    <row r="210" spans="1:8" x14ac:dyDescent="0.2">
      <c r="A210" t="s">
        <v>213</v>
      </c>
      <c r="C210">
        <v>299</v>
      </c>
    </row>
    <row r="211" spans="1:8" x14ac:dyDescent="0.2">
      <c r="A211" t="s">
        <v>219</v>
      </c>
      <c r="C211">
        <v>450</v>
      </c>
    </row>
    <row r="212" spans="1:8" x14ac:dyDescent="0.2">
      <c r="A212" t="s">
        <v>221</v>
      </c>
      <c r="C212">
        <v>600</v>
      </c>
    </row>
    <row r="213" spans="1:8" x14ac:dyDescent="0.2">
      <c r="A213" t="s">
        <v>223</v>
      </c>
      <c r="C213">
        <v>238</v>
      </c>
    </row>
    <row r="214" spans="1:8" x14ac:dyDescent="0.2">
      <c r="A214" t="s">
        <v>227</v>
      </c>
      <c r="C214">
        <v>99</v>
      </c>
    </row>
    <row r="215" spans="1:8" x14ac:dyDescent="0.2">
      <c r="A215" t="s">
        <v>229</v>
      </c>
      <c r="C215">
        <v>200</v>
      </c>
    </row>
    <row r="216" spans="1:8" x14ac:dyDescent="0.2">
      <c r="A216" t="s">
        <v>231</v>
      </c>
      <c r="C216">
        <v>24</v>
      </c>
    </row>
    <row r="217" spans="1:8" x14ac:dyDescent="0.2">
      <c r="A217" t="s">
        <v>239</v>
      </c>
      <c r="B217" t="s">
        <v>840</v>
      </c>
      <c r="C217">
        <v>80</v>
      </c>
      <c r="D217" t="s">
        <v>841</v>
      </c>
      <c r="G217" t="s">
        <v>633</v>
      </c>
      <c r="H217" t="s">
        <v>842</v>
      </c>
    </row>
    <row r="218" spans="1:8" x14ac:dyDescent="0.2">
      <c r="A218" t="s">
        <v>241</v>
      </c>
      <c r="C218">
        <v>8</v>
      </c>
    </row>
    <row r="219" spans="1:8" x14ac:dyDescent="0.2">
      <c r="A219" t="s">
        <v>245</v>
      </c>
      <c r="B219" t="s">
        <v>631</v>
      </c>
      <c r="C219">
        <v>130</v>
      </c>
      <c r="D219" t="s">
        <v>649</v>
      </c>
      <c r="G219" t="s">
        <v>754</v>
      </c>
      <c r="H219" t="s">
        <v>615</v>
      </c>
    </row>
    <row r="220" spans="1:8" x14ac:dyDescent="0.2">
      <c r="A220" t="s">
        <v>247</v>
      </c>
      <c r="B220" t="s">
        <v>631</v>
      </c>
      <c r="C220">
        <v>380</v>
      </c>
      <c r="D220" t="s">
        <v>845</v>
      </c>
      <c r="G220" t="s">
        <v>814</v>
      </c>
      <c r="H220" t="s">
        <v>846</v>
      </c>
    </row>
    <row r="221" spans="1:8" x14ac:dyDescent="0.2">
      <c r="A221" t="s">
        <v>249</v>
      </c>
      <c r="B221" t="s">
        <v>847</v>
      </c>
      <c r="C221">
        <v>90</v>
      </c>
      <c r="D221" t="s">
        <v>669</v>
      </c>
      <c r="E221" t="s">
        <v>848</v>
      </c>
      <c r="G221" t="s">
        <v>809</v>
      </c>
      <c r="H221" t="s">
        <v>615</v>
      </c>
    </row>
    <row r="222" spans="1:8" x14ac:dyDescent="0.2">
      <c r="A222" t="s">
        <v>251</v>
      </c>
    </row>
    <row r="223" spans="1:8" x14ac:dyDescent="0.2">
      <c r="A223" t="s">
        <v>257</v>
      </c>
      <c r="B223" t="s">
        <v>852</v>
      </c>
      <c r="C223">
        <v>100</v>
      </c>
      <c r="D223" t="s">
        <v>732</v>
      </c>
      <c r="G223" t="s">
        <v>646</v>
      </c>
      <c r="H223" t="s">
        <v>853</v>
      </c>
    </row>
    <row r="224" spans="1:8" x14ac:dyDescent="0.2">
      <c r="A224" t="s">
        <v>259</v>
      </c>
      <c r="C224">
        <v>64</v>
      </c>
    </row>
    <row r="225" spans="1:8" x14ac:dyDescent="0.2">
      <c r="A225" t="s">
        <v>261</v>
      </c>
    </row>
    <row r="226" spans="1:8" x14ac:dyDescent="0.2">
      <c r="A226" t="s">
        <v>265</v>
      </c>
      <c r="C226">
        <v>220</v>
      </c>
    </row>
    <row r="227" spans="1:8" x14ac:dyDescent="0.2">
      <c r="A227" t="s">
        <v>267</v>
      </c>
      <c r="C227">
        <v>219</v>
      </c>
    </row>
    <row r="228" spans="1:8" x14ac:dyDescent="0.2">
      <c r="A228" t="s">
        <v>271</v>
      </c>
      <c r="C228">
        <v>269</v>
      </c>
    </row>
    <row r="229" spans="1:8" x14ac:dyDescent="0.2">
      <c r="A229" t="s">
        <v>275</v>
      </c>
      <c r="B229" t="s">
        <v>648</v>
      </c>
      <c r="C229">
        <v>210</v>
      </c>
      <c r="D229" t="s">
        <v>821</v>
      </c>
      <c r="G229" t="s">
        <v>673</v>
      </c>
      <c r="H229" t="s">
        <v>615</v>
      </c>
    </row>
    <row r="230" spans="1:8" x14ac:dyDescent="0.2">
      <c r="A230" t="s">
        <v>281</v>
      </c>
      <c r="C230">
        <v>248</v>
      </c>
    </row>
    <row r="231" spans="1:8" x14ac:dyDescent="0.2">
      <c r="A231" t="s">
        <v>283</v>
      </c>
      <c r="C231">
        <v>147</v>
      </c>
    </row>
    <row r="232" spans="1:8" x14ac:dyDescent="0.2">
      <c r="A232" t="s">
        <v>287</v>
      </c>
      <c r="B232" t="s">
        <v>648</v>
      </c>
      <c r="C232">
        <v>305</v>
      </c>
      <c r="D232" t="s">
        <v>721</v>
      </c>
      <c r="G232" t="s">
        <v>673</v>
      </c>
      <c r="H232" t="s">
        <v>861</v>
      </c>
    </row>
    <row r="233" spans="1:8" x14ac:dyDescent="0.2">
      <c r="A233" t="s">
        <v>293</v>
      </c>
      <c r="C233">
        <v>100</v>
      </c>
    </row>
    <row r="234" spans="1:8" x14ac:dyDescent="0.2">
      <c r="A234" t="s">
        <v>297</v>
      </c>
      <c r="C234">
        <v>169</v>
      </c>
    </row>
    <row r="235" spans="1:8" x14ac:dyDescent="0.2">
      <c r="A235" t="s">
        <v>301</v>
      </c>
      <c r="C235">
        <v>2</v>
      </c>
    </row>
    <row r="236" spans="1:8" x14ac:dyDescent="0.2">
      <c r="A236" t="s">
        <v>303</v>
      </c>
      <c r="B236" t="s">
        <v>680</v>
      </c>
      <c r="C236">
        <v>549</v>
      </c>
      <c r="D236" t="s">
        <v>869</v>
      </c>
      <c r="G236" t="s">
        <v>701</v>
      </c>
      <c r="H236" t="s">
        <v>870</v>
      </c>
    </row>
    <row r="237" spans="1:8" x14ac:dyDescent="0.2">
      <c r="A237" t="s">
        <v>305</v>
      </c>
      <c r="C237">
        <v>180</v>
      </c>
    </row>
    <row r="238" spans="1:8" x14ac:dyDescent="0.2">
      <c r="A238" t="s">
        <v>307</v>
      </c>
      <c r="C238">
        <v>270</v>
      </c>
    </row>
    <row r="239" spans="1:8" x14ac:dyDescent="0.2">
      <c r="A239" t="s">
        <v>311</v>
      </c>
      <c r="C239">
        <v>15</v>
      </c>
    </row>
    <row r="240" spans="1:8" x14ac:dyDescent="0.2">
      <c r="A240" t="s">
        <v>313</v>
      </c>
      <c r="B240" t="s">
        <v>872</v>
      </c>
      <c r="C240">
        <v>70</v>
      </c>
      <c r="D240" t="s">
        <v>696</v>
      </c>
      <c r="G240" t="s">
        <v>654</v>
      </c>
      <c r="H240" t="s">
        <v>615</v>
      </c>
    </row>
    <row r="241" spans="1:8" x14ac:dyDescent="0.2">
      <c r="A241" t="s">
        <v>319</v>
      </c>
    </row>
    <row r="242" spans="1:8" x14ac:dyDescent="0.2">
      <c r="A242" t="s">
        <v>339</v>
      </c>
      <c r="C242">
        <v>77</v>
      </c>
    </row>
    <row r="243" spans="1:8" x14ac:dyDescent="0.2">
      <c r="A243" t="s">
        <v>353</v>
      </c>
      <c r="C243">
        <v>7</v>
      </c>
    </row>
    <row r="244" spans="1:8" x14ac:dyDescent="0.2">
      <c r="A244" t="s">
        <v>361</v>
      </c>
    </row>
    <row r="245" spans="1:8" x14ac:dyDescent="0.2">
      <c r="A245" t="s">
        <v>363</v>
      </c>
      <c r="B245" t="s">
        <v>746</v>
      </c>
      <c r="C245">
        <v>13</v>
      </c>
      <c r="H245" t="s">
        <v>691</v>
      </c>
    </row>
    <row r="246" spans="1:8" x14ac:dyDescent="0.2">
      <c r="A246" t="s">
        <v>365</v>
      </c>
      <c r="B246" t="s">
        <v>907</v>
      </c>
      <c r="C246">
        <v>400</v>
      </c>
    </row>
    <row r="247" spans="1:8" x14ac:dyDescent="0.2">
      <c r="A247" t="s">
        <v>367</v>
      </c>
      <c r="B247" t="s">
        <v>907</v>
      </c>
      <c r="C247">
        <v>130</v>
      </c>
      <c r="D247" t="s">
        <v>669</v>
      </c>
      <c r="H247" t="s">
        <v>615</v>
      </c>
    </row>
    <row r="248" spans="1:8" x14ac:dyDescent="0.2">
      <c r="A248" t="s">
        <v>375</v>
      </c>
      <c r="C248">
        <v>225</v>
      </c>
    </row>
    <row r="249" spans="1:8" x14ac:dyDescent="0.2">
      <c r="A249" t="s">
        <v>377</v>
      </c>
      <c r="B249" t="s">
        <v>746</v>
      </c>
      <c r="C249">
        <v>1548</v>
      </c>
    </row>
    <row r="250" spans="1:8" x14ac:dyDescent="0.2">
      <c r="A250" t="s">
        <v>399</v>
      </c>
      <c r="C250">
        <v>66</v>
      </c>
    </row>
    <row r="251" spans="1:8" x14ac:dyDescent="0.2">
      <c r="A251" t="s">
        <v>401</v>
      </c>
      <c r="C251">
        <v>42</v>
      </c>
    </row>
    <row r="252" spans="1:8" x14ac:dyDescent="0.2">
      <c r="A252" t="s">
        <v>403</v>
      </c>
      <c r="B252" t="s">
        <v>775</v>
      </c>
      <c r="C252">
        <v>75</v>
      </c>
      <c r="D252" t="s">
        <v>624</v>
      </c>
      <c r="G252" t="s">
        <v>614</v>
      </c>
      <c r="H252" t="s">
        <v>660</v>
      </c>
    </row>
    <row r="253" spans="1:8" x14ac:dyDescent="0.2">
      <c r="A253" t="s">
        <v>406</v>
      </c>
      <c r="B253" t="s">
        <v>699</v>
      </c>
      <c r="C253">
        <v>346</v>
      </c>
      <c r="D253" t="s">
        <v>611</v>
      </c>
      <c r="H253" t="s">
        <v>615</v>
      </c>
    </row>
    <row r="254" spans="1:8" x14ac:dyDescent="0.2">
      <c r="A254" t="s">
        <v>414</v>
      </c>
      <c r="B254" t="s">
        <v>939</v>
      </c>
      <c r="C254">
        <v>87</v>
      </c>
      <c r="D254" t="s">
        <v>940</v>
      </c>
      <c r="G254" t="s">
        <v>676</v>
      </c>
      <c r="H254" t="s">
        <v>677</v>
      </c>
    </row>
    <row r="255" spans="1:8" x14ac:dyDescent="0.2">
      <c r="A255" t="s">
        <v>420</v>
      </c>
      <c r="C255">
        <v>59</v>
      </c>
    </row>
    <row r="256" spans="1:8" x14ac:dyDescent="0.2">
      <c r="A256" t="s">
        <v>422</v>
      </c>
      <c r="C256">
        <v>60</v>
      </c>
    </row>
    <row r="257" spans="1:8" x14ac:dyDescent="0.2">
      <c r="A257" t="s">
        <v>432</v>
      </c>
    </row>
    <row r="258" spans="1:8" x14ac:dyDescent="0.2">
      <c r="A258" t="s">
        <v>434</v>
      </c>
      <c r="C258">
        <v>129</v>
      </c>
    </row>
    <row r="259" spans="1:8" x14ac:dyDescent="0.2">
      <c r="A259" t="s">
        <v>436</v>
      </c>
      <c r="C259">
        <v>100</v>
      </c>
    </row>
    <row r="260" spans="1:8" x14ac:dyDescent="0.2">
      <c r="A260" t="s">
        <v>438</v>
      </c>
      <c r="B260" t="s">
        <v>952</v>
      </c>
      <c r="C260">
        <v>53</v>
      </c>
      <c r="D260" t="s">
        <v>624</v>
      </c>
      <c r="G260" t="s">
        <v>654</v>
      </c>
      <c r="H260" t="s">
        <v>953</v>
      </c>
    </row>
    <row r="261" spans="1:8" x14ac:dyDescent="0.2">
      <c r="A261" t="s">
        <v>440</v>
      </c>
      <c r="B261" t="s">
        <v>954</v>
      </c>
      <c r="C261">
        <v>60</v>
      </c>
      <c r="D261" t="s">
        <v>738</v>
      </c>
      <c r="G261" t="s">
        <v>654</v>
      </c>
      <c r="H261" t="s">
        <v>955</v>
      </c>
    </row>
    <row r="262" spans="1:8" x14ac:dyDescent="0.2">
      <c r="A262" t="s">
        <v>446</v>
      </c>
      <c r="C262">
        <v>272</v>
      </c>
    </row>
    <row r="263" spans="1:8" x14ac:dyDescent="0.2">
      <c r="A263" t="s">
        <v>448</v>
      </c>
      <c r="C263">
        <v>81</v>
      </c>
    </row>
    <row r="264" spans="1:8" x14ac:dyDescent="0.2">
      <c r="A264" t="s">
        <v>450</v>
      </c>
      <c r="C264">
        <v>256</v>
      </c>
    </row>
    <row r="265" spans="1:8" x14ac:dyDescent="0.2">
      <c r="A265" t="s">
        <v>452</v>
      </c>
      <c r="C265">
        <v>575</v>
      </c>
    </row>
    <row r="266" spans="1:8" x14ac:dyDescent="0.2">
      <c r="A266" t="s">
        <v>454</v>
      </c>
      <c r="C266">
        <v>385</v>
      </c>
    </row>
    <row r="267" spans="1:8" x14ac:dyDescent="0.2">
      <c r="A267" t="s">
        <v>466</v>
      </c>
    </row>
    <row r="268" spans="1:8" x14ac:dyDescent="0.2">
      <c r="A268" t="s">
        <v>468</v>
      </c>
    </row>
    <row r="269" spans="1:8" x14ac:dyDescent="0.2">
      <c r="A269" t="s">
        <v>470</v>
      </c>
      <c r="C269">
        <v>90</v>
      </c>
    </row>
    <row r="270" spans="1:8" x14ac:dyDescent="0.2">
      <c r="A270" t="s">
        <v>472</v>
      </c>
    </row>
    <row r="271" spans="1:8" x14ac:dyDescent="0.2">
      <c r="A271" t="s">
        <v>478</v>
      </c>
      <c r="B271" t="s">
        <v>971</v>
      </c>
      <c r="C271">
        <v>40</v>
      </c>
      <c r="D271" t="s">
        <v>972</v>
      </c>
      <c r="G271" t="s">
        <v>627</v>
      </c>
      <c r="H271" t="s">
        <v>647</v>
      </c>
    </row>
    <row r="272" spans="1:8" x14ac:dyDescent="0.2">
      <c r="A272" t="s">
        <v>486</v>
      </c>
      <c r="B272" t="s">
        <v>782</v>
      </c>
      <c r="C272">
        <v>46</v>
      </c>
      <c r="D272" t="s">
        <v>903</v>
      </c>
      <c r="H272" t="s">
        <v>979</v>
      </c>
    </row>
    <row r="273" spans="1:8" x14ac:dyDescent="0.2">
      <c r="A273" t="s">
        <v>492</v>
      </c>
      <c r="B273" t="s">
        <v>986</v>
      </c>
      <c r="C273">
        <v>300</v>
      </c>
      <c r="D273" t="s">
        <v>747</v>
      </c>
      <c r="G273" t="s">
        <v>654</v>
      </c>
      <c r="H273" t="s">
        <v>987</v>
      </c>
    </row>
    <row r="274" spans="1:8" x14ac:dyDescent="0.2">
      <c r="A274" t="s">
        <v>496</v>
      </c>
      <c r="B274" t="s">
        <v>991</v>
      </c>
      <c r="C274">
        <v>250</v>
      </c>
      <c r="G274" t="s">
        <v>690</v>
      </c>
      <c r="H274" t="s">
        <v>992</v>
      </c>
    </row>
    <row r="275" spans="1:8" x14ac:dyDescent="0.2">
      <c r="A275" t="s">
        <v>502</v>
      </c>
      <c r="C275">
        <v>150</v>
      </c>
    </row>
    <row r="276" spans="1:8" x14ac:dyDescent="0.2">
      <c r="A276" t="s">
        <v>508</v>
      </c>
      <c r="C276">
        <v>729</v>
      </c>
    </row>
    <row r="277" spans="1:8" x14ac:dyDescent="0.2">
      <c r="A277" t="s">
        <v>510</v>
      </c>
      <c r="C277">
        <v>400</v>
      </c>
    </row>
    <row r="278" spans="1:8" x14ac:dyDescent="0.2">
      <c r="A278" t="s">
        <v>512</v>
      </c>
      <c r="C278">
        <v>33</v>
      </c>
    </row>
    <row r="279" spans="1:8" x14ac:dyDescent="0.2">
      <c r="A279" t="s">
        <v>516</v>
      </c>
      <c r="C279">
        <v>81</v>
      </c>
    </row>
    <row r="280" spans="1:8" x14ac:dyDescent="0.2">
      <c r="A280" t="s">
        <v>518</v>
      </c>
      <c r="C280">
        <v>68</v>
      </c>
    </row>
    <row r="281" spans="1:8" x14ac:dyDescent="0.2">
      <c r="A281" t="s">
        <v>524</v>
      </c>
      <c r="B281" t="s">
        <v>1006</v>
      </c>
      <c r="C281">
        <v>83</v>
      </c>
      <c r="D281" t="s">
        <v>1007</v>
      </c>
      <c r="G281" t="s">
        <v>643</v>
      </c>
    </row>
    <row r="282" spans="1:8" x14ac:dyDescent="0.2">
      <c r="A282" t="s">
        <v>526</v>
      </c>
      <c r="C282">
        <v>1499</v>
      </c>
    </row>
    <row r="283" spans="1:8" x14ac:dyDescent="0.2">
      <c r="A283" t="s">
        <v>534</v>
      </c>
      <c r="B283" t="s">
        <v>1012</v>
      </c>
      <c r="C283">
        <v>67</v>
      </c>
      <c r="D283" t="s">
        <v>696</v>
      </c>
      <c r="H283" t="s">
        <v>895</v>
      </c>
    </row>
    <row r="284" spans="1:8" x14ac:dyDescent="0.2">
      <c r="A284" t="s">
        <v>536</v>
      </c>
      <c r="B284" t="s">
        <v>1012</v>
      </c>
      <c r="C284">
        <v>136</v>
      </c>
      <c r="D284" t="s">
        <v>1013</v>
      </c>
      <c r="H284" t="s">
        <v>615</v>
      </c>
    </row>
    <row r="285" spans="1:8" x14ac:dyDescent="0.2">
      <c r="A285" t="s">
        <v>538</v>
      </c>
      <c r="B285" t="s">
        <v>1014</v>
      </c>
      <c r="C285">
        <v>21</v>
      </c>
      <c r="D285" t="s">
        <v>972</v>
      </c>
      <c r="G285" t="s">
        <v>643</v>
      </c>
      <c r="H285" t="s">
        <v>682</v>
      </c>
    </row>
    <row r="286" spans="1:8" x14ac:dyDescent="0.2">
      <c r="A286" t="s">
        <v>540</v>
      </c>
      <c r="C286">
        <v>119</v>
      </c>
    </row>
    <row r="287" spans="1:8" x14ac:dyDescent="0.2">
      <c r="A287" t="s">
        <v>542</v>
      </c>
      <c r="C287">
        <v>169</v>
      </c>
    </row>
    <row r="288" spans="1:8" x14ac:dyDescent="0.2">
      <c r="A288" t="s">
        <v>550</v>
      </c>
      <c r="C288">
        <v>303</v>
      </c>
    </row>
    <row r="289" spans="1:8" x14ac:dyDescent="0.2">
      <c r="A289" t="s">
        <v>558</v>
      </c>
      <c r="C289">
        <v>12</v>
      </c>
    </row>
    <row r="290" spans="1:8" x14ac:dyDescent="0.2">
      <c r="A290" t="s">
        <v>562</v>
      </c>
      <c r="C290">
        <v>28</v>
      </c>
    </row>
    <row r="291" spans="1:8" x14ac:dyDescent="0.2">
      <c r="A291" t="s">
        <v>564</v>
      </c>
      <c r="C291">
        <v>60</v>
      </c>
    </row>
    <row r="292" spans="1:8" x14ac:dyDescent="0.2">
      <c r="A292" t="s">
        <v>566</v>
      </c>
      <c r="B292" t="s">
        <v>1028</v>
      </c>
      <c r="C292">
        <v>13</v>
      </c>
      <c r="D292" t="s">
        <v>735</v>
      </c>
      <c r="E292" t="s">
        <v>1029</v>
      </c>
      <c r="G292" t="s">
        <v>643</v>
      </c>
      <c r="H292" t="s">
        <v>1030</v>
      </c>
    </row>
    <row r="293" spans="1:8" x14ac:dyDescent="0.2">
      <c r="A293" t="s">
        <v>578</v>
      </c>
      <c r="B293" t="s">
        <v>1039</v>
      </c>
      <c r="C293">
        <v>206</v>
      </c>
      <c r="D293" t="s">
        <v>717</v>
      </c>
      <c r="H293" t="s">
        <v>1040</v>
      </c>
    </row>
    <row r="294" spans="1:8" x14ac:dyDescent="0.2">
      <c r="A294" t="s">
        <v>580</v>
      </c>
      <c r="C294">
        <v>48</v>
      </c>
    </row>
    <row r="295" spans="1:8" x14ac:dyDescent="0.2">
      <c r="A295" t="s">
        <v>582</v>
      </c>
      <c r="B295" t="s">
        <v>1041</v>
      </c>
      <c r="C295">
        <v>47</v>
      </c>
      <c r="G295" t="s">
        <v>654</v>
      </c>
      <c r="H295" t="s">
        <v>1042</v>
      </c>
    </row>
    <row r="296" spans="1:8" x14ac:dyDescent="0.2">
      <c r="A296" t="s">
        <v>584</v>
      </c>
      <c r="C296">
        <v>150</v>
      </c>
    </row>
    <row r="297" spans="1:8" x14ac:dyDescent="0.2">
      <c r="A297" t="s">
        <v>586</v>
      </c>
      <c r="C297">
        <v>139</v>
      </c>
    </row>
    <row r="298" spans="1:8" x14ac:dyDescent="0.2">
      <c r="A298" t="s">
        <v>588</v>
      </c>
      <c r="C298">
        <v>179</v>
      </c>
    </row>
    <row r="299" spans="1:8" x14ac:dyDescent="0.2">
      <c r="A299" t="s">
        <v>592</v>
      </c>
      <c r="C299">
        <v>192</v>
      </c>
    </row>
    <row r="300" spans="1:8" x14ac:dyDescent="0.2">
      <c r="A300" t="s">
        <v>594</v>
      </c>
      <c r="C300">
        <v>149</v>
      </c>
    </row>
    <row r="301" spans="1:8" x14ac:dyDescent="0.2">
      <c r="A301" t="s">
        <v>596</v>
      </c>
      <c r="C301">
        <v>122</v>
      </c>
    </row>
    <row r="302" spans="1:8" x14ac:dyDescent="0.2">
      <c r="A302" t="s">
        <v>598</v>
      </c>
      <c r="C302">
        <v>39</v>
      </c>
    </row>
    <row r="303" spans="1:8" x14ac:dyDescent="0.2">
      <c r="A303" t="s">
        <v>600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6687-BAC8-46D5-A789-F81957BF58C8}">
  <dimension ref="A1:K188"/>
  <sheetViews>
    <sheetView tabSelected="1" workbookViewId="0"/>
  </sheetViews>
  <sheetFormatPr baseColWidth="10" defaultColWidth="8.83203125" defaultRowHeight="15" x14ac:dyDescent="0.2"/>
  <cols>
    <col min="1" max="1" width="20.83203125" bestFit="1" customWidth="1"/>
    <col min="2" max="2" width="27.33203125" bestFit="1" customWidth="1"/>
    <col min="3" max="3" width="20.1640625" bestFit="1" customWidth="1"/>
    <col min="4" max="4" width="15.5" bestFit="1" customWidth="1"/>
    <col min="5" max="5" width="26.33203125" style="1" bestFit="1" customWidth="1"/>
    <col min="6" max="6" width="19.6640625" bestFit="1" customWidth="1"/>
    <col min="7" max="7" width="28.83203125" bestFit="1" customWidth="1"/>
    <col min="8" max="8" width="20.1640625" bestFit="1" customWidth="1"/>
    <col min="9" max="9" width="14.6640625" bestFit="1" customWidth="1"/>
    <col min="10" max="10" width="14.1640625" bestFit="1" customWidth="1"/>
    <col min="11" max="11" width="161.6640625" bestFit="1" customWidth="1"/>
  </cols>
  <sheetData>
    <row r="1" spans="1:11" ht="16" x14ac:dyDescent="0.2">
      <c r="A1" s="14" t="s">
        <v>0</v>
      </c>
      <c r="B1" s="14" t="s">
        <v>1101</v>
      </c>
      <c r="C1" s="14" t="s">
        <v>603</v>
      </c>
      <c r="D1" s="14" t="s">
        <v>604</v>
      </c>
      <c r="E1" s="15" t="s">
        <v>605</v>
      </c>
      <c r="F1" s="14" t="s">
        <v>607</v>
      </c>
      <c r="G1" s="14" t="s">
        <v>1053</v>
      </c>
      <c r="H1" s="14" t="s">
        <v>1055</v>
      </c>
      <c r="I1" s="14" t="s">
        <v>1058</v>
      </c>
      <c r="J1" s="14" t="s">
        <v>644</v>
      </c>
      <c r="K1" s="14" t="s">
        <v>609</v>
      </c>
    </row>
    <row r="2" spans="1:11" ht="16" x14ac:dyDescent="0.2">
      <c r="A2" s="14" t="s">
        <v>428</v>
      </c>
      <c r="B2" s="14">
        <v>44345</v>
      </c>
      <c r="C2" s="14" t="s">
        <v>656</v>
      </c>
      <c r="D2" s="14">
        <v>95</v>
      </c>
      <c r="E2" s="15">
        <v>0.8</v>
      </c>
      <c r="F2" s="14">
        <v>2.4</v>
      </c>
      <c r="G2" s="14">
        <v>3.9</v>
      </c>
      <c r="H2" s="14">
        <f t="shared" ref="H2:H33" si="0">IF(OR(ISNUMBER(SEARCH("froth",K2)), ISNUMBER(SEARCH("wand",K2)), ISNUMBER(SEARCH("carafe",K2))), 1, 0)</f>
        <v>0</v>
      </c>
      <c r="I2" s="14">
        <f t="shared" ref="I2:I33" si="1">IF(ISNUMBER(SEARCH("grind", K2)), 1, 0)</f>
        <v>0</v>
      </c>
      <c r="J2" s="14">
        <f t="shared" ref="J2:J33" si="2">IF(OR(ISNUMBER(SEARCH("manual", K2)), ISNUMBER(SEARCH("lever", K2)), ISNUMBER(SEARCH("stovetop", K2))), 1, 0)</f>
        <v>0</v>
      </c>
      <c r="K2" s="14" t="s">
        <v>700</v>
      </c>
    </row>
    <row r="3" spans="1:11" ht="16" x14ac:dyDescent="0.2">
      <c r="A3" s="14" t="s">
        <v>273</v>
      </c>
      <c r="B3" s="14">
        <v>40369</v>
      </c>
      <c r="C3" s="14" t="s">
        <v>648</v>
      </c>
      <c r="D3" s="14">
        <v>180</v>
      </c>
      <c r="E3" s="15">
        <v>1</v>
      </c>
      <c r="F3" s="14">
        <v>4.2</v>
      </c>
      <c r="G3" s="14">
        <v>4.2</v>
      </c>
      <c r="H3" s="14">
        <f t="shared" si="0"/>
        <v>0</v>
      </c>
      <c r="I3" s="14">
        <f t="shared" si="1"/>
        <v>0</v>
      </c>
      <c r="J3" s="14">
        <f t="shared" si="2"/>
        <v>0</v>
      </c>
      <c r="K3" s="14" t="s">
        <v>677</v>
      </c>
    </row>
    <row r="4" spans="1:11" ht="16" x14ac:dyDescent="0.2">
      <c r="A4" s="14" t="s">
        <v>277</v>
      </c>
      <c r="B4" s="14">
        <v>40369</v>
      </c>
      <c r="C4" s="14" t="s">
        <v>648</v>
      </c>
      <c r="D4" s="14">
        <v>165</v>
      </c>
      <c r="E4" s="15">
        <v>1</v>
      </c>
      <c r="F4" s="14">
        <v>4.22</v>
      </c>
      <c r="G4" s="14">
        <v>4.2</v>
      </c>
      <c r="H4" s="14">
        <f t="shared" si="0"/>
        <v>1</v>
      </c>
      <c r="I4" s="14">
        <f t="shared" si="1"/>
        <v>0</v>
      </c>
      <c r="J4" s="14">
        <f t="shared" si="2"/>
        <v>0</v>
      </c>
      <c r="K4" s="14" t="s">
        <v>615</v>
      </c>
    </row>
    <row r="5" spans="1:11" ht="16" x14ac:dyDescent="0.2">
      <c r="A5" s="14" t="s">
        <v>177</v>
      </c>
      <c r="B5" s="14">
        <v>20614</v>
      </c>
      <c r="C5" s="14" t="s">
        <v>802</v>
      </c>
      <c r="D5" s="14">
        <v>34</v>
      </c>
      <c r="E5" s="15">
        <v>0.29574</v>
      </c>
      <c r="F5" s="14"/>
      <c r="G5" s="14">
        <v>4.7</v>
      </c>
      <c r="H5" s="14">
        <f t="shared" si="0"/>
        <v>0</v>
      </c>
      <c r="I5" s="14">
        <f t="shared" si="1"/>
        <v>0</v>
      </c>
      <c r="J5" s="14">
        <f t="shared" si="2"/>
        <v>1</v>
      </c>
      <c r="K5" s="14" t="s">
        <v>805</v>
      </c>
    </row>
    <row r="6" spans="1:11" ht="16" x14ac:dyDescent="0.2">
      <c r="A6" s="14" t="s">
        <v>109</v>
      </c>
      <c r="B6" s="14">
        <v>20123</v>
      </c>
      <c r="C6" s="14" t="s">
        <v>748</v>
      </c>
      <c r="D6" s="14">
        <v>115</v>
      </c>
      <c r="E6" s="15">
        <v>0.6</v>
      </c>
      <c r="F6" s="14">
        <v>2.5</v>
      </c>
      <c r="G6" s="14">
        <v>4</v>
      </c>
      <c r="H6" s="14">
        <f t="shared" si="0"/>
        <v>0</v>
      </c>
      <c r="I6" s="14">
        <f t="shared" si="1"/>
        <v>0</v>
      </c>
      <c r="J6" s="14">
        <f t="shared" si="2"/>
        <v>0</v>
      </c>
      <c r="K6" s="14" t="s">
        <v>700</v>
      </c>
    </row>
    <row r="7" spans="1:11" ht="16" x14ac:dyDescent="0.2">
      <c r="A7" s="14" t="s">
        <v>235</v>
      </c>
      <c r="B7" s="14">
        <v>13422</v>
      </c>
      <c r="C7" s="14" t="s">
        <v>834</v>
      </c>
      <c r="D7" s="14">
        <v>130</v>
      </c>
      <c r="E7" s="15">
        <v>1.5</v>
      </c>
      <c r="F7" s="14">
        <v>1.35</v>
      </c>
      <c r="G7" s="14">
        <v>4.0999999999999996</v>
      </c>
      <c r="H7" s="14">
        <f t="shared" si="0"/>
        <v>1</v>
      </c>
      <c r="I7" s="14">
        <f t="shared" si="1"/>
        <v>0</v>
      </c>
      <c r="J7" s="14">
        <f t="shared" si="2"/>
        <v>0</v>
      </c>
      <c r="K7" s="14" t="s">
        <v>836</v>
      </c>
    </row>
    <row r="8" spans="1:11" ht="16" x14ac:dyDescent="0.2">
      <c r="A8" s="14" t="s">
        <v>295</v>
      </c>
      <c r="B8" s="14">
        <v>13033</v>
      </c>
      <c r="C8" s="14" t="s">
        <v>648</v>
      </c>
      <c r="D8" s="14">
        <v>137</v>
      </c>
      <c r="E8" s="15">
        <v>1</v>
      </c>
      <c r="F8" s="14">
        <v>4.3</v>
      </c>
      <c r="G8" s="14">
        <v>4.2</v>
      </c>
      <c r="H8" s="14">
        <f t="shared" si="0"/>
        <v>1</v>
      </c>
      <c r="I8" s="14">
        <f t="shared" si="1"/>
        <v>0</v>
      </c>
      <c r="J8" s="14">
        <f t="shared" si="2"/>
        <v>0</v>
      </c>
      <c r="K8" s="14" t="s">
        <v>615</v>
      </c>
    </row>
    <row r="9" spans="1:11" ht="16" x14ac:dyDescent="0.2">
      <c r="A9" s="14" t="s">
        <v>89</v>
      </c>
      <c r="B9" s="14">
        <v>9663</v>
      </c>
      <c r="C9" s="14" t="s">
        <v>656</v>
      </c>
      <c r="D9" s="14">
        <v>109</v>
      </c>
      <c r="E9" s="15">
        <v>0.6</v>
      </c>
      <c r="F9" s="14">
        <v>1.81</v>
      </c>
      <c r="G9" s="14">
        <v>4.4000000000000004</v>
      </c>
      <c r="H9" s="14">
        <f t="shared" si="0"/>
        <v>0</v>
      </c>
      <c r="I9" s="14">
        <f t="shared" si="1"/>
        <v>0</v>
      </c>
      <c r="J9" s="14">
        <f t="shared" si="2"/>
        <v>0</v>
      </c>
      <c r="K9" s="14" t="s">
        <v>700</v>
      </c>
    </row>
    <row r="10" spans="1:11" ht="16" x14ac:dyDescent="0.2">
      <c r="A10" s="14" t="s">
        <v>343</v>
      </c>
      <c r="B10" s="14">
        <v>6310</v>
      </c>
      <c r="C10" s="14" t="s">
        <v>890</v>
      </c>
      <c r="D10" s="14">
        <v>22</v>
      </c>
      <c r="E10" s="15">
        <v>0.45</v>
      </c>
      <c r="F10" s="14">
        <v>0.79</v>
      </c>
      <c r="G10" s="14">
        <v>4.0999999999999996</v>
      </c>
      <c r="H10" s="14">
        <f t="shared" si="0"/>
        <v>0</v>
      </c>
      <c r="I10" s="14">
        <f t="shared" si="1"/>
        <v>0</v>
      </c>
      <c r="J10" s="14">
        <f t="shared" si="2"/>
        <v>0</v>
      </c>
      <c r="K10" s="14" t="s">
        <v>682</v>
      </c>
    </row>
    <row r="11" spans="1:11" ht="16" x14ac:dyDescent="0.2">
      <c r="A11" s="14" t="s">
        <v>572</v>
      </c>
      <c r="B11" s="14">
        <v>5694</v>
      </c>
      <c r="C11" s="14" t="s">
        <v>639</v>
      </c>
      <c r="D11" s="14">
        <v>50</v>
      </c>
      <c r="E11" s="15">
        <v>7.0000000000000007E-2</v>
      </c>
      <c r="F11" s="14">
        <v>0.28999999999999998</v>
      </c>
      <c r="G11" s="14">
        <v>4.2</v>
      </c>
      <c r="H11" s="14">
        <f t="shared" si="0"/>
        <v>0</v>
      </c>
      <c r="I11" s="14">
        <f t="shared" si="1"/>
        <v>0</v>
      </c>
      <c r="J11" s="14">
        <f t="shared" si="2"/>
        <v>0</v>
      </c>
      <c r="K11" s="14" t="s">
        <v>647</v>
      </c>
    </row>
    <row r="12" spans="1:11" ht="16" x14ac:dyDescent="0.2">
      <c r="A12" s="14" t="s">
        <v>91</v>
      </c>
      <c r="B12" s="14">
        <v>5570</v>
      </c>
      <c r="C12" s="14" t="s">
        <v>656</v>
      </c>
      <c r="D12" s="14">
        <v>105</v>
      </c>
      <c r="E12" s="15"/>
      <c r="F12" s="14">
        <v>2.4</v>
      </c>
      <c r="G12" s="14">
        <v>4.2</v>
      </c>
      <c r="H12" s="14">
        <f t="shared" si="0"/>
        <v>0</v>
      </c>
      <c r="I12" s="14">
        <f t="shared" si="1"/>
        <v>0</v>
      </c>
      <c r="J12" s="14">
        <f t="shared" si="2"/>
        <v>0</v>
      </c>
      <c r="K12" s="14" t="s">
        <v>700</v>
      </c>
    </row>
    <row r="13" spans="1:11" ht="16" x14ac:dyDescent="0.2">
      <c r="A13" s="14" t="s">
        <v>105</v>
      </c>
      <c r="B13" s="14">
        <v>5337</v>
      </c>
      <c r="C13" s="14" t="s">
        <v>648</v>
      </c>
      <c r="D13" s="14">
        <v>195</v>
      </c>
      <c r="E13" s="15">
        <v>1.1592555760761472</v>
      </c>
      <c r="F13" s="14">
        <v>4.4000000000000004</v>
      </c>
      <c r="G13" s="14">
        <v>4.5999999999999996</v>
      </c>
      <c r="H13" s="14">
        <f t="shared" si="0"/>
        <v>1</v>
      </c>
      <c r="I13" s="14">
        <f t="shared" si="1"/>
        <v>0</v>
      </c>
      <c r="J13" s="14">
        <f t="shared" si="2"/>
        <v>0</v>
      </c>
      <c r="K13" s="14" t="s">
        <v>615</v>
      </c>
    </row>
    <row r="14" spans="1:11" ht="16" x14ac:dyDescent="0.2">
      <c r="A14" s="14" t="s">
        <v>568</v>
      </c>
      <c r="B14" s="14">
        <v>5180</v>
      </c>
      <c r="C14" s="14" t="s">
        <v>639</v>
      </c>
      <c r="D14" s="14">
        <v>50</v>
      </c>
      <c r="E14" s="15">
        <v>7.0000000000000007E-2</v>
      </c>
      <c r="F14" s="14">
        <v>0.36</v>
      </c>
      <c r="G14" s="14">
        <v>4.4000000000000004</v>
      </c>
      <c r="H14" s="14">
        <f t="shared" si="0"/>
        <v>0</v>
      </c>
      <c r="I14" s="14">
        <f t="shared" si="1"/>
        <v>0</v>
      </c>
      <c r="J14" s="14">
        <f t="shared" si="2"/>
        <v>1</v>
      </c>
      <c r="K14" s="14" t="s">
        <v>1031</v>
      </c>
    </row>
    <row r="15" spans="1:11" ht="16" x14ac:dyDescent="0.2">
      <c r="A15" s="14" t="s">
        <v>3</v>
      </c>
      <c r="B15" s="14">
        <v>4956</v>
      </c>
      <c r="C15" s="14" t="s">
        <v>623</v>
      </c>
      <c r="D15" s="14">
        <v>140</v>
      </c>
      <c r="E15" s="15">
        <v>0.08</v>
      </c>
      <c r="F15" s="14">
        <v>0.67100000000000004</v>
      </c>
      <c r="G15" s="14">
        <v>4.3</v>
      </c>
      <c r="H15" s="14">
        <f t="shared" si="0"/>
        <v>0</v>
      </c>
      <c r="I15" s="14">
        <f t="shared" si="1"/>
        <v>0</v>
      </c>
      <c r="J15" s="14">
        <f t="shared" si="2"/>
        <v>0</v>
      </c>
      <c r="K15" s="14" t="s">
        <v>1100</v>
      </c>
    </row>
    <row r="16" spans="1:11" ht="16" x14ac:dyDescent="0.2">
      <c r="A16" s="14" t="s">
        <v>23</v>
      </c>
      <c r="B16" s="14">
        <v>4732</v>
      </c>
      <c r="C16" s="14" t="s">
        <v>661</v>
      </c>
      <c r="D16" s="14">
        <v>65</v>
      </c>
      <c r="E16" s="15">
        <v>0.52</v>
      </c>
      <c r="F16" s="14"/>
      <c r="G16" s="14">
        <v>4.2</v>
      </c>
      <c r="H16" s="14">
        <f t="shared" si="0"/>
        <v>0</v>
      </c>
      <c r="I16" s="14">
        <f t="shared" si="1"/>
        <v>0</v>
      </c>
      <c r="J16" s="14">
        <f t="shared" si="2"/>
        <v>1</v>
      </c>
      <c r="K16" s="14" t="s">
        <v>1099</v>
      </c>
    </row>
    <row r="17" spans="1:11" ht="16" x14ac:dyDescent="0.2">
      <c r="A17" s="14" t="s">
        <v>387</v>
      </c>
      <c r="B17" s="14">
        <v>4137</v>
      </c>
      <c r="C17" s="14" t="s">
        <v>748</v>
      </c>
      <c r="D17" s="14">
        <v>80</v>
      </c>
      <c r="E17" s="15">
        <v>1.25</v>
      </c>
      <c r="F17" s="14">
        <v>2</v>
      </c>
      <c r="G17" s="14">
        <v>4.3</v>
      </c>
      <c r="H17" s="14">
        <f t="shared" si="0"/>
        <v>0</v>
      </c>
      <c r="I17" s="14">
        <f t="shared" si="1"/>
        <v>0</v>
      </c>
      <c r="J17" s="14">
        <f t="shared" si="2"/>
        <v>0</v>
      </c>
      <c r="K17" s="14" t="s">
        <v>919</v>
      </c>
    </row>
    <row r="18" spans="1:11" ht="16" x14ac:dyDescent="0.2">
      <c r="A18" s="14" t="s">
        <v>590</v>
      </c>
      <c r="B18" s="14">
        <v>3492</v>
      </c>
      <c r="C18" s="14" t="s">
        <v>648</v>
      </c>
      <c r="D18" s="14">
        <v>89</v>
      </c>
      <c r="E18" s="15">
        <v>1</v>
      </c>
      <c r="F18" s="14">
        <v>5.04</v>
      </c>
      <c r="G18" s="14">
        <v>4.3</v>
      </c>
      <c r="H18" s="14">
        <f t="shared" si="0"/>
        <v>1</v>
      </c>
      <c r="I18" s="14">
        <f t="shared" si="1"/>
        <v>0</v>
      </c>
      <c r="J18" s="14">
        <f t="shared" si="2"/>
        <v>0</v>
      </c>
      <c r="K18" s="14" t="s">
        <v>615</v>
      </c>
    </row>
    <row r="19" spans="1:11" ht="16" x14ac:dyDescent="0.2">
      <c r="A19" s="14" t="s">
        <v>566</v>
      </c>
      <c r="B19" s="14">
        <v>3396</v>
      </c>
      <c r="C19" s="14" t="s">
        <v>1028</v>
      </c>
      <c r="D19" s="14">
        <v>13</v>
      </c>
      <c r="E19" s="15">
        <v>1.4194464158977997</v>
      </c>
      <c r="F19" s="14">
        <v>0.55000000000000004</v>
      </c>
      <c r="G19" s="14">
        <v>4.4000000000000004</v>
      </c>
      <c r="H19" s="14">
        <f t="shared" si="0"/>
        <v>0</v>
      </c>
      <c r="I19" s="14">
        <f t="shared" si="1"/>
        <v>0</v>
      </c>
      <c r="J19" s="14">
        <f t="shared" si="2"/>
        <v>0</v>
      </c>
      <c r="K19" s="14" t="s">
        <v>1030</v>
      </c>
    </row>
    <row r="20" spans="1:11" ht="16" x14ac:dyDescent="0.2">
      <c r="A20" s="14" t="s">
        <v>167</v>
      </c>
      <c r="B20" s="14">
        <v>2823</v>
      </c>
      <c r="C20" s="14" t="s">
        <v>740</v>
      </c>
      <c r="D20" s="14">
        <v>90</v>
      </c>
      <c r="E20" s="15">
        <v>0.8</v>
      </c>
      <c r="F20" s="14"/>
      <c r="G20" s="14">
        <v>4.0999999999999996</v>
      </c>
      <c r="H20" s="14">
        <f t="shared" si="0"/>
        <v>0</v>
      </c>
      <c r="I20" s="14">
        <f t="shared" si="1"/>
        <v>0</v>
      </c>
      <c r="J20" s="14">
        <f t="shared" si="2"/>
        <v>0</v>
      </c>
      <c r="K20" s="14" t="s">
        <v>793</v>
      </c>
    </row>
    <row r="21" spans="1:11" ht="16" x14ac:dyDescent="0.2">
      <c r="A21" s="14" t="s">
        <v>11</v>
      </c>
      <c r="B21" s="14">
        <v>2615</v>
      </c>
      <c r="C21" s="14" t="s">
        <v>639</v>
      </c>
      <c r="D21" s="14">
        <v>80</v>
      </c>
      <c r="E21" s="15">
        <v>7.9556755220912059E-2</v>
      </c>
      <c r="F21" s="14">
        <v>0.33600000000000002</v>
      </c>
      <c r="G21" s="14">
        <v>4.4000000000000004</v>
      </c>
      <c r="H21" s="14">
        <f t="shared" si="0"/>
        <v>0</v>
      </c>
      <c r="I21" s="14">
        <f t="shared" si="1"/>
        <v>0</v>
      </c>
      <c r="J21" s="14">
        <f t="shared" si="2"/>
        <v>1</v>
      </c>
      <c r="K21" s="14" t="s">
        <v>644</v>
      </c>
    </row>
    <row r="22" spans="1:11" ht="16" x14ac:dyDescent="0.2">
      <c r="A22" s="14" t="s">
        <v>117</v>
      </c>
      <c r="B22" s="14">
        <v>2538</v>
      </c>
      <c r="C22" s="14" t="s">
        <v>702</v>
      </c>
      <c r="D22" s="14">
        <v>499</v>
      </c>
      <c r="E22" s="15"/>
      <c r="F22" s="14">
        <v>10.5</v>
      </c>
      <c r="G22" s="14">
        <v>4.5999999999999996</v>
      </c>
      <c r="H22" s="14">
        <f t="shared" si="0"/>
        <v>0</v>
      </c>
      <c r="I22" s="14">
        <f t="shared" si="1"/>
        <v>1</v>
      </c>
      <c r="J22" s="14">
        <f t="shared" si="2"/>
        <v>0</v>
      </c>
      <c r="K22" s="14" t="s">
        <v>703</v>
      </c>
    </row>
    <row r="23" spans="1:11" ht="16" x14ac:dyDescent="0.2">
      <c r="A23" s="14" t="s">
        <v>500</v>
      </c>
      <c r="B23" s="14">
        <v>2482</v>
      </c>
      <c r="C23" s="14" t="s">
        <v>993</v>
      </c>
      <c r="D23" s="14">
        <v>60</v>
      </c>
      <c r="E23" s="15">
        <v>1.5</v>
      </c>
      <c r="F23" s="14">
        <v>4</v>
      </c>
      <c r="G23" s="14">
        <v>4.4000000000000004</v>
      </c>
      <c r="H23" s="14">
        <f t="shared" si="0"/>
        <v>0</v>
      </c>
      <c r="I23" s="14">
        <f t="shared" si="1"/>
        <v>1</v>
      </c>
      <c r="J23" s="14">
        <f t="shared" si="2"/>
        <v>0</v>
      </c>
      <c r="K23" s="14" t="s">
        <v>996</v>
      </c>
    </row>
    <row r="24" spans="1:11" ht="16" x14ac:dyDescent="0.2">
      <c r="A24" s="14" t="s">
        <v>225</v>
      </c>
      <c r="B24" s="14">
        <v>2373</v>
      </c>
      <c r="C24" s="14" t="s">
        <v>828</v>
      </c>
      <c r="D24" s="14">
        <v>695</v>
      </c>
      <c r="E24" s="15"/>
      <c r="F24" s="14">
        <v>4.99</v>
      </c>
      <c r="G24" s="14">
        <v>4.0999999999999996</v>
      </c>
      <c r="H24" s="14">
        <f t="shared" si="0"/>
        <v>0</v>
      </c>
      <c r="I24" s="14">
        <f t="shared" si="1"/>
        <v>0</v>
      </c>
      <c r="J24" s="14">
        <f t="shared" si="2"/>
        <v>1</v>
      </c>
      <c r="K24" s="14" t="s">
        <v>644</v>
      </c>
    </row>
    <row r="25" spans="1:11" ht="16" x14ac:dyDescent="0.2">
      <c r="A25" s="14" t="s">
        <v>57</v>
      </c>
      <c r="B25" s="14">
        <v>2214</v>
      </c>
      <c r="C25" s="14" t="s">
        <v>656</v>
      </c>
      <c r="D25" s="14">
        <v>199</v>
      </c>
      <c r="E25" s="15">
        <v>1</v>
      </c>
      <c r="F25" s="14">
        <v>4</v>
      </c>
      <c r="G25" s="14">
        <v>4.5999999999999996</v>
      </c>
      <c r="H25" s="14">
        <f t="shared" si="0"/>
        <v>1</v>
      </c>
      <c r="I25" s="14">
        <f t="shared" si="1"/>
        <v>0</v>
      </c>
      <c r="J25" s="14">
        <f t="shared" si="2"/>
        <v>0</v>
      </c>
      <c r="K25" s="14" t="s">
        <v>615</v>
      </c>
    </row>
    <row r="26" spans="1:11" ht="16" x14ac:dyDescent="0.2">
      <c r="A26" s="14" t="s">
        <v>215</v>
      </c>
      <c r="B26" s="14">
        <v>2165</v>
      </c>
      <c r="C26" s="14" t="s">
        <v>828</v>
      </c>
      <c r="D26" s="14">
        <v>567</v>
      </c>
      <c r="E26" s="15">
        <v>1.3354169626367383</v>
      </c>
      <c r="F26" s="14">
        <v>4.9400000000000004</v>
      </c>
      <c r="G26" s="14">
        <v>4.2</v>
      </c>
      <c r="H26" s="14">
        <f t="shared" si="0"/>
        <v>1</v>
      </c>
      <c r="I26" s="14">
        <f t="shared" si="1"/>
        <v>0</v>
      </c>
      <c r="J26" s="14">
        <f t="shared" si="2"/>
        <v>0</v>
      </c>
      <c r="K26" s="14" t="s">
        <v>830</v>
      </c>
    </row>
    <row r="27" spans="1:11" ht="16" x14ac:dyDescent="0.2">
      <c r="A27" s="14" t="s">
        <v>99</v>
      </c>
      <c r="B27" s="14">
        <v>1914</v>
      </c>
      <c r="C27" s="14" t="s">
        <v>734</v>
      </c>
      <c r="D27" s="14">
        <v>15</v>
      </c>
      <c r="E27" s="15">
        <v>1.4194464158977997</v>
      </c>
      <c r="F27" s="14">
        <v>0.56000000000000005</v>
      </c>
      <c r="G27" s="14">
        <v>4.4000000000000004</v>
      </c>
      <c r="H27" s="14">
        <f t="shared" si="0"/>
        <v>0</v>
      </c>
      <c r="I27" s="14">
        <f t="shared" si="1"/>
        <v>0</v>
      </c>
      <c r="J27" s="14">
        <f t="shared" si="2"/>
        <v>0</v>
      </c>
      <c r="K27" s="14" t="s">
        <v>647</v>
      </c>
    </row>
    <row r="28" spans="1:11" ht="16" x14ac:dyDescent="0.2">
      <c r="A28" s="14" t="s">
        <v>123</v>
      </c>
      <c r="B28" s="14">
        <v>1678</v>
      </c>
      <c r="C28" s="14" t="s">
        <v>760</v>
      </c>
      <c r="D28" s="14">
        <v>77</v>
      </c>
      <c r="E28" s="15">
        <v>1.5</v>
      </c>
      <c r="F28" s="14">
        <v>4.41</v>
      </c>
      <c r="G28" s="14">
        <v>4</v>
      </c>
      <c r="H28" s="14">
        <f t="shared" si="0"/>
        <v>1</v>
      </c>
      <c r="I28" s="14">
        <f t="shared" si="1"/>
        <v>0</v>
      </c>
      <c r="J28" s="14">
        <f t="shared" si="2"/>
        <v>0</v>
      </c>
      <c r="K28" s="14" t="s">
        <v>650</v>
      </c>
    </row>
    <row r="29" spans="1:11" ht="16" x14ac:dyDescent="0.2">
      <c r="A29" s="14" t="s">
        <v>55</v>
      </c>
      <c r="B29" s="14">
        <v>1661</v>
      </c>
      <c r="C29" s="14" t="s">
        <v>699</v>
      </c>
      <c r="D29" s="14">
        <v>299</v>
      </c>
      <c r="E29" s="15">
        <v>1.2</v>
      </c>
      <c r="F29" s="14"/>
      <c r="G29" s="14">
        <v>4</v>
      </c>
      <c r="H29" s="14">
        <f t="shared" si="0"/>
        <v>0</v>
      </c>
      <c r="I29" s="14">
        <f t="shared" si="1"/>
        <v>0</v>
      </c>
      <c r="J29" s="14">
        <f t="shared" si="2"/>
        <v>0</v>
      </c>
      <c r="K29" s="14" t="s">
        <v>700</v>
      </c>
    </row>
    <row r="30" spans="1:11" ht="16" x14ac:dyDescent="0.2">
      <c r="A30" s="14" t="s">
        <v>37</v>
      </c>
      <c r="B30" s="14">
        <v>1589</v>
      </c>
      <c r="C30" s="14" t="s">
        <v>678</v>
      </c>
      <c r="D30" s="14">
        <v>100</v>
      </c>
      <c r="E30" s="15">
        <v>0.08</v>
      </c>
      <c r="F30" s="14"/>
      <c r="G30" s="14">
        <v>4.2</v>
      </c>
      <c r="H30" s="14">
        <f t="shared" si="0"/>
        <v>0</v>
      </c>
      <c r="I30" s="14">
        <f t="shared" si="1"/>
        <v>0</v>
      </c>
      <c r="J30" s="14">
        <f t="shared" si="2"/>
        <v>0</v>
      </c>
      <c r="K30" s="14" t="s">
        <v>679</v>
      </c>
    </row>
    <row r="31" spans="1:11" ht="16" x14ac:dyDescent="0.2">
      <c r="A31" s="14" t="s">
        <v>574</v>
      </c>
      <c r="B31" s="14">
        <v>1470</v>
      </c>
      <c r="C31" s="14" t="s">
        <v>639</v>
      </c>
      <c r="D31" s="14">
        <v>55</v>
      </c>
      <c r="E31" s="15">
        <v>0.08</v>
      </c>
      <c r="F31" s="14">
        <v>0.28999999999999998</v>
      </c>
      <c r="G31" s="14">
        <v>4</v>
      </c>
      <c r="H31" s="14">
        <f t="shared" si="0"/>
        <v>0</v>
      </c>
      <c r="I31" s="14">
        <f t="shared" si="1"/>
        <v>0</v>
      </c>
      <c r="J31" s="14">
        <f t="shared" si="2"/>
        <v>1</v>
      </c>
      <c r="K31" s="14" t="s">
        <v>1036</v>
      </c>
    </row>
    <row r="32" spans="1:11" ht="16" x14ac:dyDescent="0.2">
      <c r="A32" s="14" t="s">
        <v>389</v>
      </c>
      <c r="B32" s="14">
        <v>1457</v>
      </c>
      <c r="C32" s="14" t="s">
        <v>748</v>
      </c>
      <c r="D32" s="14">
        <v>140</v>
      </c>
      <c r="E32" s="15">
        <v>0.6</v>
      </c>
      <c r="F32" s="14">
        <v>2.2999999999999998</v>
      </c>
      <c r="G32" s="14">
        <v>4.4000000000000004</v>
      </c>
      <c r="H32" s="14">
        <f t="shared" si="0"/>
        <v>0</v>
      </c>
      <c r="I32" s="14">
        <f t="shared" si="1"/>
        <v>0</v>
      </c>
      <c r="J32" s="14">
        <f t="shared" si="2"/>
        <v>0</v>
      </c>
      <c r="K32" s="14" t="s">
        <v>920</v>
      </c>
    </row>
    <row r="33" spans="1:11" ht="16" x14ac:dyDescent="0.2">
      <c r="A33" s="14" t="s">
        <v>77</v>
      </c>
      <c r="B33" s="14">
        <v>1353</v>
      </c>
      <c r="C33" s="14" t="s">
        <v>708</v>
      </c>
      <c r="D33" s="14">
        <v>100</v>
      </c>
      <c r="E33" s="15">
        <v>1.3</v>
      </c>
      <c r="F33" s="14">
        <v>3.28</v>
      </c>
      <c r="G33" s="14">
        <v>4.5999999999999996</v>
      </c>
      <c r="H33" s="14">
        <f t="shared" si="0"/>
        <v>0</v>
      </c>
      <c r="I33" s="14">
        <f t="shared" si="1"/>
        <v>0</v>
      </c>
      <c r="J33" s="14">
        <f t="shared" si="2"/>
        <v>0</v>
      </c>
      <c r="K33" s="14" t="s">
        <v>713</v>
      </c>
    </row>
    <row r="34" spans="1:11" ht="16" x14ac:dyDescent="0.2">
      <c r="A34" s="14" t="s">
        <v>285</v>
      </c>
      <c r="B34" s="14">
        <v>1314</v>
      </c>
      <c r="C34" s="14" t="s">
        <v>648</v>
      </c>
      <c r="D34" s="14">
        <v>210</v>
      </c>
      <c r="E34" s="15">
        <v>1.4</v>
      </c>
      <c r="F34" s="14">
        <v>4.0999999999999996</v>
      </c>
      <c r="G34" s="14">
        <v>4</v>
      </c>
      <c r="H34" s="14">
        <f t="shared" ref="H34:H65" si="3">IF(OR(ISNUMBER(SEARCH("froth",K34)), ISNUMBER(SEARCH("wand",K34)), ISNUMBER(SEARCH("carafe",K34))), 1, 0)</f>
        <v>0</v>
      </c>
      <c r="I34" s="14">
        <f t="shared" ref="I34:I65" si="4">IF(ISNUMBER(SEARCH("grind", K34)), 1, 0)</f>
        <v>0</v>
      </c>
      <c r="J34" s="14">
        <f t="shared" ref="J34:J65" si="5">IF(OR(ISNUMBER(SEARCH("manual", K34)), ISNUMBER(SEARCH("lever", K34)), ISNUMBER(SEARCH("stovetop", K34))), 1, 0)</f>
        <v>0</v>
      </c>
      <c r="K34" s="14" t="s">
        <v>860</v>
      </c>
    </row>
    <row r="35" spans="1:11" ht="16" x14ac:dyDescent="0.2">
      <c r="A35" s="14" t="s">
        <v>576</v>
      </c>
      <c r="B35" s="14">
        <v>1200</v>
      </c>
      <c r="C35" s="14" t="s">
        <v>1037</v>
      </c>
      <c r="D35" s="14">
        <v>275</v>
      </c>
      <c r="E35" s="15"/>
      <c r="F35" s="14">
        <v>4.0999999999999996</v>
      </c>
      <c r="G35" s="14">
        <v>4.2</v>
      </c>
      <c r="H35" s="14">
        <f t="shared" si="3"/>
        <v>1</v>
      </c>
      <c r="I35" s="14">
        <f t="shared" si="4"/>
        <v>0</v>
      </c>
      <c r="J35" s="14">
        <f t="shared" si="5"/>
        <v>0</v>
      </c>
      <c r="K35" s="14" t="s">
        <v>686</v>
      </c>
    </row>
    <row r="36" spans="1:11" ht="16" x14ac:dyDescent="0.2">
      <c r="A36" s="14" t="s">
        <v>546</v>
      </c>
      <c r="B36" s="14">
        <v>1121</v>
      </c>
      <c r="C36" s="14" t="s">
        <v>708</v>
      </c>
      <c r="D36" s="14">
        <v>60</v>
      </c>
      <c r="E36" s="15">
        <v>1.4</v>
      </c>
      <c r="F36" s="14">
        <v>3.4</v>
      </c>
      <c r="G36" s="14">
        <v>4.5</v>
      </c>
      <c r="H36" s="14">
        <f t="shared" si="3"/>
        <v>0</v>
      </c>
      <c r="I36" s="14">
        <f t="shared" si="4"/>
        <v>0</v>
      </c>
      <c r="J36" s="14">
        <f t="shared" si="5"/>
        <v>0</v>
      </c>
      <c r="K36" s="14" t="s">
        <v>1016</v>
      </c>
    </row>
    <row r="37" spans="1:11" ht="16" x14ac:dyDescent="0.2">
      <c r="A37" s="14" t="s">
        <v>41</v>
      </c>
      <c r="B37" s="14">
        <v>1057</v>
      </c>
      <c r="C37" s="14" t="s">
        <v>683</v>
      </c>
      <c r="D37" s="14">
        <v>149</v>
      </c>
      <c r="E37" s="15">
        <v>1.25</v>
      </c>
      <c r="F37" s="14"/>
      <c r="G37" s="14">
        <v>4.0999999999999996</v>
      </c>
      <c r="H37" s="14">
        <f t="shared" si="3"/>
        <v>1</v>
      </c>
      <c r="I37" s="14">
        <f t="shared" si="4"/>
        <v>0</v>
      </c>
      <c r="J37" s="14">
        <f t="shared" si="5"/>
        <v>0</v>
      </c>
      <c r="K37" s="14" t="s">
        <v>686</v>
      </c>
    </row>
    <row r="38" spans="1:11" ht="16" x14ac:dyDescent="0.2">
      <c r="A38" s="14" t="s">
        <v>289</v>
      </c>
      <c r="B38" s="14">
        <v>1013</v>
      </c>
      <c r="C38" s="14" t="s">
        <v>648</v>
      </c>
      <c r="D38" s="14">
        <v>125</v>
      </c>
      <c r="E38" s="15">
        <v>0.8</v>
      </c>
      <c r="F38" s="14">
        <v>2</v>
      </c>
      <c r="G38" s="14">
        <v>4.4000000000000004</v>
      </c>
      <c r="H38" s="14">
        <f t="shared" si="3"/>
        <v>0</v>
      </c>
      <c r="I38" s="14">
        <f t="shared" si="4"/>
        <v>0</v>
      </c>
      <c r="J38" s="14">
        <f t="shared" si="5"/>
        <v>0</v>
      </c>
      <c r="K38" s="14" t="s">
        <v>863</v>
      </c>
    </row>
    <row r="39" spans="1:11" ht="16" x14ac:dyDescent="0.2">
      <c r="A39" s="14" t="s">
        <v>309</v>
      </c>
      <c r="B39" s="14">
        <v>990</v>
      </c>
      <c r="C39" s="14" t="s">
        <v>871</v>
      </c>
      <c r="D39" s="14">
        <v>198</v>
      </c>
      <c r="E39" s="15">
        <v>1.8</v>
      </c>
      <c r="F39" s="14">
        <v>5.2</v>
      </c>
      <c r="G39" s="14">
        <v>4.0999999999999996</v>
      </c>
      <c r="H39" s="14">
        <f t="shared" si="3"/>
        <v>1</v>
      </c>
      <c r="I39" s="14">
        <f t="shared" si="4"/>
        <v>0</v>
      </c>
      <c r="J39" s="14">
        <f t="shared" si="5"/>
        <v>0</v>
      </c>
      <c r="K39" s="14" t="s">
        <v>650</v>
      </c>
    </row>
    <row r="40" spans="1:11" ht="16" x14ac:dyDescent="0.2">
      <c r="A40" s="14" t="s">
        <v>217</v>
      </c>
      <c r="B40" s="14">
        <v>957</v>
      </c>
      <c r="C40" s="14" t="s">
        <v>828</v>
      </c>
      <c r="D40" s="14">
        <v>1404</v>
      </c>
      <c r="E40" s="15">
        <v>2</v>
      </c>
      <c r="F40" s="14">
        <v>10.75</v>
      </c>
      <c r="G40" s="14">
        <v>4.4000000000000004</v>
      </c>
      <c r="H40" s="14">
        <f t="shared" si="3"/>
        <v>0</v>
      </c>
      <c r="I40" s="14">
        <f t="shared" si="4"/>
        <v>0</v>
      </c>
      <c r="J40" s="14">
        <f t="shared" si="5"/>
        <v>1</v>
      </c>
      <c r="K40" s="14" t="s">
        <v>644</v>
      </c>
    </row>
    <row r="41" spans="1:11" ht="16" x14ac:dyDescent="0.2">
      <c r="A41" s="14" t="s">
        <v>79</v>
      </c>
      <c r="B41" s="14">
        <v>932</v>
      </c>
      <c r="C41" s="14" t="s">
        <v>610</v>
      </c>
      <c r="D41" s="14">
        <v>549</v>
      </c>
      <c r="E41" s="15">
        <v>1.3</v>
      </c>
      <c r="F41" s="14">
        <v>8.1</v>
      </c>
      <c r="G41" s="14">
        <v>4.3</v>
      </c>
      <c r="H41" s="14">
        <f t="shared" si="3"/>
        <v>1</v>
      </c>
      <c r="I41" s="14">
        <f t="shared" si="4"/>
        <v>0</v>
      </c>
      <c r="J41" s="14">
        <f t="shared" si="5"/>
        <v>0</v>
      </c>
      <c r="K41" s="14" t="s">
        <v>715</v>
      </c>
    </row>
    <row r="42" spans="1:11" ht="16" x14ac:dyDescent="0.2">
      <c r="A42" s="14" t="s">
        <v>135</v>
      </c>
      <c r="B42" s="14">
        <v>932</v>
      </c>
      <c r="C42" s="14" t="s">
        <v>610</v>
      </c>
      <c r="D42" s="14">
        <v>549</v>
      </c>
      <c r="E42" s="15">
        <v>2.1</v>
      </c>
      <c r="F42" s="14">
        <v>8.1</v>
      </c>
      <c r="G42" s="14">
        <v>4.3</v>
      </c>
      <c r="H42" s="14">
        <f t="shared" si="3"/>
        <v>1</v>
      </c>
      <c r="I42" s="14">
        <f t="shared" si="4"/>
        <v>0</v>
      </c>
      <c r="J42" s="14">
        <f t="shared" si="5"/>
        <v>0</v>
      </c>
      <c r="K42" s="14" t="s">
        <v>715</v>
      </c>
    </row>
    <row r="43" spans="1:11" ht="16" x14ac:dyDescent="0.2">
      <c r="A43" s="14" t="s">
        <v>137</v>
      </c>
      <c r="B43" s="14">
        <v>932</v>
      </c>
      <c r="C43" s="14" t="s">
        <v>610</v>
      </c>
      <c r="D43" s="14">
        <v>549</v>
      </c>
      <c r="E43" s="15">
        <v>2.1</v>
      </c>
      <c r="F43" s="14">
        <v>9</v>
      </c>
      <c r="G43" s="14">
        <v>4.3</v>
      </c>
      <c r="H43" s="14">
        <f t="shared" si="3"/>
        <v>1</v>
      </c>
      <c r="I43" s="14">
        <f t="shared" si="4"/>
        <v>0</v>
      </c>
      <c r="J43" s="14">
        <f t="shared" si="5"/>
        <v>0</v>
      </c>
      <c r="K43" s="14" t="s">
        <v>715</v>
      </c>
    </row>
    <row r="44" spans="1:11" ht="16" x14ac:dyDescent="0.2">
      <c r="A44" s="14" t="s">
        <v>143</v>
      </c>
      <c r="B44" s="14">
        <v>826</v>
      </c>
      <c r="C44" s="14" t="s">
        <v>767</v>
      </c>
      <c r="D44" s="14">
        <v>130</v>
      </c>
      <c r="E44" s="15">
        <v>1</v>
      </c>
      <c r="F44" s="14"/>
      <c r="G44" s="14">
        <v>4.3</v>
      </c>
      <c r="H44" s="14">
        <f t="shared" si="3"/>
        <v>1</v>
      </c>
      <c r="I44" s="14">
        <f t="shared" si="4"/>
        <v>0</v>
      </c>
      <c r="J44" s="14">
        <f t="shared" si="5"/>
        <v>0</v>
      </c>
      <c r="K44" s="14" t="s">
        <v>1066</v>
      </c>
    </row>
    <row r="45" spans="1:11" ht="16" x14ac:dyDescent="0.2">
      <c r="A45" s="14" t="s">
        <v>185</v>
      </c>
      <c r="B45" s="14">
        <v>756</v>
      </c>
      <c r="C45" s="14" t="s">
        <v>699</v>
      </c>
      <c r="D45" s="14">
        <v>379</v>
      </c>
      <c r="E45" s="15">
        <v>1.5</v>
      </c>
      <c r="F45" s="14"/>
      <c r="G45" s="14">
        <v>4.0999999999999996</v>
      </c>
      <c r="H45" s="14">
        <f t="shared" si="3"/>
        <v>1</v>
      </c>
      <c r="I45" s="14">
        <f t="shared" si="4"/>
        <v>1</v>
      </c>
      <c r="J45" s="14">
        <f t="shared" si="5"/>
        <v>0</v>
      </c>
      <c r="K45" s="14" t="s">
        <v>811</v>
      </c>
    </row>
    <row r="46" spans="1:11" ht="16" x14ac:dyDescent="0.2">
      <c r="A46" s="14" t="s">
        <v>544</v>
      </c>
      <c r="B46" s="14">
        <v>719</v>
      </c>
      <c r="C46" s="14" t="s">
        <v>708</v>
      </c>
      <c r="D46" s="14">
        <v>44</v>
      </c>
      <c r="E46" s="15">
        <v>0.7</v>
      </c>
      <c r="F46" s="14">
        <v>4.0999999999999996</v>
      </c>
      <c r="G46" s="14">
        <v>4.5999999999999996</v>
      </c>
      <c r="H46" s="14">
        <f t="shared" si="3"/>
        <v>0</v>
      </c>
      <c r="I46" s="14">
        <f t="shared" si="4"/>
        <v>0</v>
      </c>
      <c r="J46" s="14">
        <f t="shared" si="5"/>
        <v>0</v>
      </c>
      <c r="K46" s="14" t="s">
        <v>1090</v>
      </c>
    </row>
    <row r="47" spans="1:11" ht="16" x14ac:dyDescent="0.2">
      <c r="A47" s="14" t="s">
        <v>426</v>
      </c>
      <c r="B47" s="14">
        <v>693</v>
      </c>
      <c r="C47" s="14" t="s">
        <v>748</v>
      </c>
      <c r="D47" s="14">
        <v>128</v>
      </c>
      <c r="E47" s="15">
        <v>0.6</v>
      </c>
      <c r="F47" s="14">
        <v>2.34</v>
      </c>
      <c r="G47" s="14">
        <v>4.4000000000000004</v>
      </c>
      <c r="H47" s="14">
        <f t="shared" si="3"/>
        <v>0</v>
      </c>
      <c r="I47" s="14">
        <f t="shared" si="4"/>
        <v>0</v>
      </c>
      <c r="J47" s="14">
        <f t="shared" si="5"/>
        <v>0</v>
      </c>
      <c r="K47" s="14" t="s">
        <v>700</v>
      </c>
    </row>
    <row r="48" spans="1:11" ht="16" x14ac:dyDescent="0.2">
      <c r="A48" s="14" t="s">
        <v>430</v>
      </c>
      <c r="B48" s="14">
        <v>670</v>
      </c>
      <c r="C48" s="14" t="s">
        <v>656</v>
      </c>
      <c r="D48" s="14">
        <v>232</v>
      </c>
      <c r="E48" s="15">
        <v>1.597</v>
      </c>
      <c r="F48" s="14">
        <v>4.97</v>
      </c>
      <c r="G48" s="14">
        <v>4.2</v>
      </c>
      <c r="H48" s="14">
        <f t="shared" si="3"/>
        <v>0</v>
      </c>
      <c r="I48" s="14">
        <f t="shared" si="4"/>
        <v>0</v>
      </c>
      <c r="J48" s="14">
        <f t="shared" si="5"/>
        <v>0</v>
      </c>
      <c r="K48" s="14" t="s">
        <v>951</v>
      </c>
    </row>
    <row r="49" spans="1:11" ht="16" x14ac:dyDescent="0.2">
      <c r="A49" s="14" t="s">
        <v>83</v>
      </c>
      <c r="B49" s="14">
        <v>658</v>
      </c>
      <c r="C49" s="14" t="s">
        <v>720</v>
      </c>
      <c r="D49" s="14">
        <v>115</v>
      </c>
      <c r="E49" s="15">
        <v>0.47314880529926656</v>
      </c>
      <c r="F49" s="14">
        <v>1.31</v>
      </c>
      <c r="G49" s="14">
        <v>3.6</v>
      </c>
      <c r="H49" s="14">
        <f t="shared" si="3"/>
        <v>1</v>
      </c>
      <c r="I49" s="14">
        <f t="shared" si="4"/>
        <v>0</v>
      </c>
      <c r="J49" s="14">
        <f t="shared" si="5"/>
        <v>0</v>
      </c>
      <c r="K49" s="14" t="s">
        <v>650</v>
      </c>
    </row>
    <row r="50" spans="1:11" ht="16" x14ac:dyDescent="0.2">
      <c r="A50" s="14" t="s">
        <v>570</v>
      </c>
      <c r="B50" s="14">
        <v>583</v>
      </c>
      <c r="C50" s="14" t="s">
        <v>639</v>
      </c>
      <c r="D50" s="14">
        <v>55</v>
      </c>
      <c r="E50" s="15">
        <v>7.6715442534450923E-2</v>
      </c>
      <c r="F50" s="14">
        <v>0.36299999999999999</v>
      </c>
      <c r="G50" s="14">
        <v>4.3</v>
      </c>
      <c r="H50" s="14">
        <f t="shared" si="3"/>
        <v>1</v>
      </c>
      <c r="I50" s="14">
        <f t="shared" si="4"/>
        <v>0</v>
      </c>
      <c r="J50" s="14">
        <f t="shared" si="5"/>
        <v>0</v>
      </c>
      <c r="K50" s="14" t="s">
        <v>915</v>
      </c>
    </row>
    <row r="51" spans="1:11" ht="16" x14ac:dyDescent="0.2">
      <c r="A51" s="14" t="s">
        <v>233</v>
      </c>
      <c r="B51" s="14">
        <v>513</v>
      </c>
      <c r="C51" s="14" t="s">
        <v>767</v>
      </c>
      <c r="D51" s="14">
        <v>111</v>
      </c>
      <c r="E51" s="15">
        <v>1.3</v>
      </c>
      <c r="F51" s="14"/>
      <c r="G51" s="14">
        <v>4.2</v>
      </c>
      <c r="H51" s="14">
        <f t="shared" si="3"/>
        <v>1</v>
      </c>
      <c r="I51" s="14">
        <f t="shared" si="4"/>
        <v>0</v>
      </c>
      <c r="J51" s="14">
        <f t="shared" si="5"/>
        <v>1</v>
      </c>
      <c r="K51" s="14" t="s">
        <v>1089</v>
      </c>
    </row>
    <row r="52" spans="1:11" ht="16" x14ac:dyDescent="0.2">
      <c r="A52" s="14" t="s">
        <v>325</v>
      </c>
      <c r="B52" s="14">
        <v>488</v>
      </c>
      <c r="C52" s="14" t="s">
        <v>881</v>
      </c>
      <c r="D52" s="14">
        <v>146</v>
      </c>
      <c r="E52" s="15">
        <v>0.23657440264963328</v>
      </c>
      <c r="F52" s="14"/>
      <c r="G52" s="14">
        <v>4.3</v>
      </c>
      <c r="H52" s="14">
        <f t="shared" si="3"/>
        <v>0</v>
      </c>
      <c r="I52" s="14">
        <f t="shared" si="4"/>
        <v>0</v>
      </c>
      <c r="J52" s="14">
        <f t="shared" si="5"/>
        <v>0</v>
      </c>
      <c r="K52" s="14" t="s">
        <v>868</v>
      </c>
    </row>
    <row r="53" spans="1:11" ht="16" x14ac:dyDescent="0.2">
      <c r="A53" s="14" t="s">
        <v>87</v>
      </c>
      <c r="B53" s="14">
        <v>447</v>
      </c>
      <c r="C53" s="14" t="s">
        <v>668</v>
      </c>
      <c r="D53" s="14">
        <v>128</v>
      </c>
      <c r="E53" s="15">
        <v>1.4</v>
      </c>
      <c r="F53" s="14">
        <v>4</v>
      </c>
      <c r="G53" s="14">
        <v>3.6</v>
      </c>
      <c r="H53" s="14">
        <f t="shared" si="3"/>
        <v>0</v>
      </c>
      <c r="I53" s="14">
        <f t="shared" si="4"/>
        <v>0</v>
      </c>
      <c r="J53" s="14">
        <f t="shared" si="5"/>
        <v>0</v>
      </c>
      <c r="K53" s="14" t="s">
        <v>727</v>
      </c>
    </row>
    <row r="54" spans="1:11" ht="16" x14ac:dyDescent="0.2">
      <c r="A54" s="14" t="s">
        <v>538</v>
      </c>
      <c r="B54" s="14">
        <v>391</v>
      </c>
      <c r="C54" s="14" t="s">
        <v>1014</v>
      </c>
      <c r="D54" s="14">
        <v>21</v>
      </c>
      <c r="E54" s="15">
        <v>0.15</v>
      </c>
      <c r="F54" s="14"/>
      <c r="G54" s="14">
        <v>4.4000000000000004</v>
      </c>
      <c r="H54" s="14">
        <f t="shared" si="3"/>
        <v>0</v>
      </c>
      <c r="I54" s="14">
        <f t="shared" si="4"/>
        <v>0</v>
      </c>
      <c r="J54" s="14">
        <f t="shared" si="5"/>
        <v>0</v>
      </c>
      <c r="K54" s="14" t="s">
        <v>682</v>
      </c>
    </row>
    <row r="55" spans="1:11" ht="16" x14ac:dyDescent="0.2">
      <c r="A55" s="14" t="s">
        <v>315</v>
      </c>
      <c r="B55" s="14">
        <v>387</v>
      </c>
      <c r="C55" s="14" t="s">
        <v>658</v>
      </c>
      <c r="D55" s="14">
        <v>100</v>
      </c>
      <c r="E55" s="15">
        <v>0.08</v>
      </c>
      <c r="F55" s="14"/>
      <c r="G55" s="14">
        <v>4</v>
      </c>
      <c r="H55" s="14">
        <f t="shared" si="3"/>
        <v>0</v>
      </c>
      <c r="I55" s="14">
        <f t="shared" si="4"/>
        <v>0</v>
      </c>
      <c r="J55" s="14">
        <f t="shared" si="5"/>
        <v>0</v>
      </c>
      <c r="K55" s="14" t="s">
        <v>874</v>
      </c>
    </row>
    <row r="56" spans="1:11" ht="16" x14ac:dyDescent="0.2">
      <c r="A56" s="14" t="s">
        <v>329</v>
      </c>
      <c r="B56" s="14">
        <v>386</v>
      </c>
      <c r="C56" s="14" t="s">
        <v>610</v>
      </c>
      <c r="D56" s="14">
        <v>369</v>
      </c>
      <c r="E56" s="15">
        <v>0.47314880529926656</v>
      </c>
      <c r="F56" s="14">
        <v>8</v>
      </c>
      <c r="G56" s="14">
        <v>3.8</v>
      </c>
      <c r="H56" s="14">
        <f t="shared" si="3"/>
        <v>0</v>
      </c>
      <c r="I56" s="14">
        <f t="shared" si="4"/>
        <v>0</v>
      </c>
      <c r="J56" s="14">
        <f t="shared" si="5"/>
        <v>0</v>
      </c>
      <c r="K56" s="14" t="s">
        <v>700</v>
      </c>
    </row>
    <row r="57" spans="1:11" ht="16" x14ac:dyDescent="0.2">
      <c r="A57" s="14" t="s">
        <v>7</v>
      </c>
      <c r="B57" s="14">
        <v>380</v>
      </c>
      <c r="C57" s="14" t="s">
        <v>631</v>
      </c>
      <c r="D57" s="14">
        <v>90</v>
      </c>
      <c r="E57" s="15">
        <v>1.2</v>
      </c>
      <c r="F57" s="14">
        <v>3.37</v>
      </c>
      <c r="G57" s="14">
        <v>4</v>
      </c>
      <c r="H57" s="14">
        <f t="shared" si="3"/>
        <v>1</v>
      </c>
      <c r="I57" s="14">
        <f t="shared" si="4"/>
        <v>0</v>
      </c>
      <c r="J57" s="14">
        <f t="shared" si="5"/>
        <v>0</v>
      </c>
      <c r="K57" s="14" t="s">
        <v>634</v>
      </c>
    </row>
    <row r="58" spans="1:11" ht="16" x14ac:dyDescent="0.2">
      <c r="A58" s="14" t="s">
        <v>191</v>
      </c>
      <c r="B58" s="14">
        <v>378</v>
      </c>
      <c r="C58" s="14" t="s">
        <v>815</v>
      </c>
      <c r="D58" s="14">
        <v>120</v>
      </c>
      <c r="E58" s="15">
        <v>1.1000000000000001</v>
      </c>
      <c r="F58" s="14"/>
      <c r="G58" s="14">
        <v>4</v>
      </c>
      <c r="H58" s="14">
        <f t="shared" si="3"/>
        <v>1</v>
      </c>
      <c r="I58" s="14">
        <f t="shared" si="4"/>
        <v>0</v>
      </c>
      <c r="J58" s="14">
        <f t="shared" si="5"/>
        <v>0</v>
      </c>
      <c r="K58" s="14" t="s">
        <v>615</v>
      </c>
    </row>
    <row r="59" spans="1:11" ht="16" x14ac:dyDescent="0.2">
      <c r="A59" s="14" t="s">
        <v>111</v>
      </c>
      <c r="B59" s="14">
        <v>370</v>
      </c>
      <c r="C59" s="14" t="s">
        <v>749</v>
      </c>
      <c r="D59" s="14">
        <v>450</v>
      </c>
      <c r="E59" s="15">
        <v>2</v>
      </c>
      <c r="F59" s="14">
        <v>16.3</v>
      </c>
      <c r="G59" s="14">
        <v>4.4000000000000004</v>
      </c>
      <c r="H59" s="14">
        <f t="shared" si="3"/>
        <v>0</v>
      </c>
      <c r="I59" s="14">
        <f t="shared" si="4"/>
        <v>1</v>
      </c>
      <c r="J59" s="14">
        <f t="shared" si="5"/>
        <v>0</v>
      </c>
      <c r="K59" s="14" t="s">
        <v>751</v>
      </c>
    </row>
    <row r="60" spans="1:11" ht="16" x14ac:dyDescent="0.2">
      <c r="A60" s="14" t="s">
        <v>103</v>
      </c>
      <c r="B60" s="14">
        <v>350</v>
      </c>
      <c r="C60" s="14" t="s">
        <v>740</v>
      </c>
      <c r="D60" s="14">
        <v>102</v>
      </c>
      <c r="E60" s="15">
        <v>0.8</v>
      </c>
      <c r="F60" s="14"/>
      <c r="G60" s="14">
        <v>4.0999999999999996</v>
      </c>
      <c r="H60" s="14">
        <f t="shared" si="3"/>
        <v>0</v>
      </c>
      <c r="I60" s="14">
        <f t="shared" si="4"/>
        <v>0</v>
      </c>
      <c r="J60" s="14">
        <f t="shared" si="5"/>
        <v>0</v>
      </c>
      <c r="K60" s="14" t="s">
        <v>742</v>
      </c>
    </row>
    <row r="61" spans="1:11" ht="16" x14ac:dyDescent="0.2">
      <c r="A61" s="14" t="s">
        <v>21</v>
      </c>
      <c r="B61" s="14">
        <v>347</v>
      </c>
      <c r="C61" s="14" t="s">
        <v>658</v>
      </c>
      <c r="D61" s="14">
        <v>110</v>
      </c>
      <c r="E61" s="15">
        <v>0.08</v>
      </c>
      <c r="F61" s="14"/>
      <c r="G61" s="14">
        <v>4.0999999999999996</v>
      </c>
      <c r="H61" s="14">
        <f t="shared" si="3"/>
        <v>0</v>
      </c>
      <c r="I61" s="14">
        <f t="shared" si="4"/>
        <v>0</v>
      </c>
      <c r="J61" s="14">
        <f t="shared" si="5"/>
        <v>0</v>
      </c>
      <c r="K61" s="14" t="s">
        <v>660</v>
      </c>
    </row>
    <row r="62" spans="1:11" ht="16" x14ac:dyDescent="0.2">
      <c r="A62" s="14" t="s">
        <v>494</v>
      </c>
      <c r="B62" s="14">
        <v>311</v>
      </c>
      <c r="C62" s="14" t="s">
        <v>988</v>
      </c>
      <c r="D62" s="14">
        <v>67</v>
      </c>
      <c r="E62" s="15">
        <v>1.2</v>
      </c>
      <c r="F62" s="14"/>
      <c r="G62" s="14">
        <v>4.0999999999999996</v>
      </c>
      <c r="H62" s="14">
        <f t="shared" si="3"/>
        <v>1</v>
      </c>
      <c r="I62" s="14">
        <f t="shared" si="4"/>
        <v>0</v>
      </c>
      <c r="J62" s="14">
        <f t="shared" si="5"/>
        <v>0</v>
      </c>
      <c r="K62" s="14" t="s">
        <v>990</v>
      </c>
    </row>
    <row r="63" spans="1:11" ht="16" x14ac:dyDescent="0.2">
      <c r="A63" s="14" t="s">
        <v>85</v>
      </c>
      <c r="B63" s="14">
        <v>272</v>
      </c>
      <c r="C63" s="14" t="s">
        <v>668</v>
      </c>
      <c r="D63" s="14">
        <v>51</v>
      </c>
      <c r="E63" s="15">
        <v>1.2</v>
      </c>
      <c r="F63" s="14">
        <v>2</v>
      </c>
      <c r="G63" s="14">
        <v>3.6</v>
      </c>
      <c r="H63" s="14">
        <f t="shared" si="3"/>
        <v>0</v>
      </c>
      <c r="I63" s="14">
        <f t="shared" si="4"/>
        <v>0</v>
      </c>
      <c r="J63" s="14">
        <f t="shared" si="5"/>
        <v>0</v>
      </c>
      <c r="K63" s="14" t="s">
        <v>1060</v>
      </c>
    </row>
    <row r="64" spans="1:11" ht="16" x14ac:dyDescent="0.2">
      <c r="A64" s="14" t="s">
        <v>25</v>
      </c>
      <c r="B64" s="14">
        <v>260</v>
      </c>
      <c r="C64" s="14" t="s">
        <v>629</v>
      </c>
      <c r="D64" s="14">
        <v>465</v>
      </c>
      <c r="E64" s="15">
        <v>1</v>
      </c>
      <c r="F64" s="14">
        <v>4.7</v>
      </c>
      <c r="G64" s="14">
        <v>4.3</v>
      </c>
      <c r="H64" s="14">
        <f t="shared" si="3"/>
        <v>1</v>
      </c>
      <c r="I64" s="14">
        <f t="shared" si="4"/>
        <v>0</v>
      </c>
      <c r="J64" s="14">
        <f t="shared" si="5"/>
        <v>0</v>
      </c>
      <c r="K64" s="14" t="s">
        <v>667</v>
      </c>
    </row>
    <row r="65" spans="1:11" ht="16" x14ac:dyDescent="0.2">
      <c r="A65" s="14" t="s">
        <v>458</v>
      </c>
      <c r="B65" s="14">
        <v>250</v>
      </c>
      <c r="C65" s="14" t="s">
        <v>960</v>
      </c>
      <c r="D65" s="14">
        <v>300</v>
      </c>
      <c r="E65" s="15">
        <v>1.2</v>
      </c>
      <c r="F65" s="14">
        <v>5</v>
      </c>
      <c r="G65" s="14">
        <v>3.4</v>
      </c>
      <c r="H65" s="14">
        <f t="shared" si="3"/>
        <v>0</v>
      </c>
      <c r="I65" s="14">
        <f t="shared" si="4"/>
        <v>1</v>
      </c>
      <c r="J65" s="14">
        <f t="shared" si="5"/>
        <v>0</v>
      </c>
      <c r="K65" s="14" t="s">
        <v>1054</v>
      </c>
    </row>
    <row r="66" spans="1:11" ht="16" x14ac:dyDescent="0.2">
      <c r="A66" s="14" t="s">
        <v>418</v>
      </c>
      <c r="B66" s="14">
        <v>237</v>
      </c>
      <c r="C66" s="14" t="s">
        <v>945</v>
      </c>
      <c r="D66" s="14">
        <v>79</v>
      </c>
      <c r="E66" s="15">
        <v>0.6</v>
      </c>
      <c r="F66" s="14"/>
      <c r="G66" s="14">
        <v>3.9</v>
      </c>
      <c r="H66" s="14">
        <f t="shared" ref="H66:H97" si="6">IF(OR(ISNUMBER(SEARCH("froth",K66)), ISNUMBER(SEARCH("wand",K66)), ISNUMBER(SEARCH("carafe",K66))), 1, 0)</f>
        <v>0</v>
      </c>
      <c r="I66" s="14">
        <f t="shared" ref="I66:I97" si="7">IF(ISNUMBER(SEARCH("grind", K66)), 1, 0)</f>
        <v>0</v>
      </c>
      <c r="J66" s="14">
        <f t="shared" ref="J66:J97" si="8">IF(OR(ISNUMBER(SEARCH("manual", K66)), ISNUMBER(SEARCH("lever", K66)), ISNUMBER(SEARCH("stovetop", K66))), 1, 0)</f>
        <v>0</v>
      </c>
      <c r="K66" s="14" t="s">
        <v>947</v>
      </c>
    </row>
    <row r="67" spans="1:11" ht="16" x14ac:dyDescent="0.2">
      <c r="A67" s="14" t="s">
        <v>183</v>
      </c>
      <c r="B67" s="14">
        <v>230</v>
      </c>
      <c r="C67" s="14" t="s">
        <v>720</v>
      </c>
      <c r="D67" s="14">
        <v>262</v>
      </c>
      <c r="E67" s="15">
        <v>2</v>
      </c>
      <c r="F67" s="14">
        <v>7.63</v>
      </c>
      <c r="G67" s="14">
        <v>3.5</v>
      </c>
      <c r="H67" s="14">
        <f t="shared" si="6"/>
        <v>0</v>
      </c>
      <c r="I67" s="14">
        <f t="shared" si="7"/>
        <v>1</v>
      </c>
      <c r="J67" s="14">
        <f t="shared" si="8"/>
        <v>0</v>
      </c>
      <c r="K67" s="14" t="s">
        <v>810</v>
      </c>
    </row>
    <row r="68" spans="1:11" ht="16" x14ac:dyDescent="0.2">
      <c r="A68" s="14" t="s">
        <v>444</v>
      </c>
      <c r="B68" s="14">
        <v>230</v>
      </c>
      <c r="C68" s="14" t="s">
        <v>623</v>
      </c>
      <c r="D68" s="14">
        <v>190</v>
      </c>
      <c r="E68" s="15">
        <v>7.0000000000000007E-2</v>
      </c>
      <c r="F68" s="14">
        <v>0.68500000000000005</v>
      </c>
      <c r="G68" s="14">
        <v>4.5999999999999996</v>
      </c>
      <c r="H68" s="14">
        <f t="shared" si="6"/>
        <v>0</v>
      </c>
      <c r="I68" s="14">
        <f t="shared" si="7"/>
        <v>0</v>
      </c>
      <c r="J68" s="14">
        <f t="shared" si="8"/>
        <v>0</v>
      </c>
      <c r="K68" s="14" t="s">
        <v>1046</v>
      </c>
    </row>
    <row r="69" spans="1:11" ht="16" x14ac:dyDescent="0.2">
      <c r="A69" s="14" t="s">
        <v>331</v>
      </c>
      <c r="B69" s="14">
        <v>227</v>
      </c>
      <c r="C69" s="14" t="s">
        <v>610</v>
      </c>
      <c r="D69" s="14">
        <v>589</v>
      </c>
      <c r="E69" s="15"/>
      <c r="F69" s="14">
        <v>7.7</v>
      </c>
      <c r="G69" s="14">
        <v>3.8</v>
      </c>
      <c r="H69" s="14">
        <f t="shared" si="6"/>
        <v>1</v>
      </c>
      <c r="I69" s="14">
        <f t="shared" si="7"/>
        <v>1</v>
      </c>
      <c r="J69" s="14">
        <f t="shared" si="8"/>
        <v>0</v>
      </c>
      <c r="K69" s="14" t="s">
        <v>1064</v>
      </c>
    </row>
    <row r="70" spans="1:11" ht="16" x14ac:dyDescent="0.2">
      <c r="A70" s="14" t="s">
        <v>291</v>
      </c>
      <c r="B70" s="14">
        <v>215</v>
      </c>
      <c r="C70" s="14" t="s">
        <v>648</v>
      </c>
      <c r="D70" s="14">
        <v>799</v>
      </c>
      <c r="E70" s="15">
        <v>2.2000000000000002</v>
      </c>
      <c r="F70" s="14">
        <v>13</v>
      </c>
      <c r="G70" s="14">
        <v>4.2</v>
      </c>
      <c r="H70" s="14">
        <f t="shared" si="6"/>
        <v>0</v>
      </c>
      <c r="I70" s="14">
        <f t="shared" si="7"/>
        <v>0</v>
      </c>
      <c r="J70" s="14">
        <f t="shared" si="8"/>
        <v>0</v>
      </c>
      <c r="K70" s="14" t="s">
        <v>682</v>
      </c>
    </row>
    <row r="71" spans="1:11" ht="16" x14ac:dyDescent="0.2">
      <c r="A71" s="14" t="s">
        <v>299</v>
      </c>
      <c r="B71" s="14">
        <v>214</v>
      </c>
      <c r="C71" s="14" t="s">
        <v>865</v>
      </c>
      <c r="D71" s="14">
        <v>115.71</v>
      </c>
      <c r="E71" s="15">
        <v>0.5</v>
      </c>
      <c r="F71" s="14">
        <v>2.61</v>
      </c>
      <c r="G71" s="14">
        <v>4.4000000000000004</v>
      </c>
      <c r="H71" s="14">
        <f t="shared" si="6"/>
        <v>0</v>
      </c>
      <c r="I71" s="14">
        <f t="shared" si="7"/>
        <v>0</v>
      </c>
      <c r="J71" s="14">
        <f t="shared" si="8"/>
        <v>0</v>
      </c>
      <c r="K71" s="14" t="s">
        <v>868</v>
      </c>
    </row>
    <row r="72" spans="1:11" ht="16" x14ac:dyDescent="0.2">
      <c r="A72" s="14" t="s">
        <v>115</v>
      </c>
      <c r="B72" s="14">
        <v>202</v>
      </c>
      <c r="C72" s="14" t="s">
        <v>668</v>
      </c>
      <c r="D72" s="14">
        <v>259</v>
      </c>
      <c r="E72" s="15">
        <v>1.4</v>
      </c>
      <c r="F72" s="14">
        <v>7.5</v>
      </c>
      <c r="G72" s="14">
        <v>3.8</v>
      </c>
      <c r="H72" s="14">
        <f t="shared" si="6"/>
        <v>1</v>
      </c>
      <c r="I72" s="14">
        <f t="shared" si="7"/>
        <v>0</v>
      </c>
      <c r="J72" s="14">
        <f t="shared" si="8"/>
        <v>0</v>
      </c>
      <c r="K72" s="14" t="s">
        <v>615</v>
      </c>
    </row>
    <row r="73" spans="1:11" ht="16" x14ac:dyDescent="0.2">
      <c r="A73" s="14" t="s">
        <v>237</v>
      </c>
      <c r="B73" s="14">
        <v>202</v>
      </c>
      <c r="C73" s="14" t="s">
        <v>837</v>
      </c>
      <c r="D73" s="14">
        <v>130</v>
      </c>
      <c r="E73" s="15">
        <v>0.08</v>
      </c>
      <c r="F73" s="14"/>
      <c r="G73" s="14">
        <v>4.4000000000000004</v>
      </c>
      <c r="H73" s="14">
        <f t="shared" si="6"/>
        <v>0</v>
      </c>
      <c r="I73" s="14">
        <f t="shared" si="7"/>
        <v>0</v>
      </c>
      <c r="J73" s="14">
        <f t="shared" si="8"/>
        <v>0</v>
      </c>
      <c r="K73" s="14" t="s">
        <v>839</v>
      </c>
    </row>
    <row r="74" spans="1:11" ht="16" x14ac:dyDescent="0.2">
      <c r="A74" s="14" t="s">
        <v>125</v>
      </c>
      <c r="B74" s="14">
        <v>202</v>
      </c>
      <c r="C74" s="14" t="s">
        <v>708</v>
      </c>
      <c r="D74" s="14">
        <v>40</v>
      </c>
      <c r="E74" s="15">
        <v>0.7</v>
      </c>
      <c r="F74" s="14">
        <v>2.8</v>
      </c>
      <c r="G74" s="14">
        <v>4.4000000000000004</v>
      </c>
      <c r="H74" s="14">
        <f t="shared" si="6"/>
        <v>0</v>
      </c>
      <c r="I74" s="14">
        <f t="shared" si="7"/>
        <v>0</v>
      </c>
      <c r="J74" s="14">
        <f t="shared" si="8"/>
        <v>0</v>
      </c>
      <c r="K74" s="14" t="s">
        <v>1050</v>
      </c>
    </row>
    <row r="75" spans="1:11" ht="16" x14ac:dyDescent="0.2">
      <c r="A75" s="14" t="s">
        <v>75</v>
      </c>
      <c r="B75" s="14">
        <v>202</v>
      </c>
      <c r="C75" s="14" t="s">
        <v>708</v>
      </c>
      <c r="D75" s="14">
        <v>39</v>
      </c>
      <c r="E75" s="15">
        <v>0.7</v>
      </c>
      <c r="F75" s="14">
        <v>2.8</v>
      </c>
      <c r="G75" s="14">
        <v>4.4000000000000004</v>
      </c>
      <c r="H75" s="14">
        <f t="shared" si="6"/>
        <v>0</v>
      </c>
      <c r="I75" s="14">
        <f t="shared" si="7"/>
        <v>0</v>
      </c>
      <c r="J75" s="14">
        <f t="shared" si="8"/>
        <v>0</v>
      </c>
      <c r="K75" s="14" t="s">
        <v>1049</v>
      </c>
    </row>
    <row r="76" spans="1:11" ht="16" x14ac:dyDescent="0.2">
      <c r="A76" s="14" t="s">
        <v>371</v>
      </c>
      <c r="B76" s="14">
        <v>184</v>
      </c>
      <c r="C76" s="14" t="s">
        <v>746</v>
      </c>
      <c r="D76" s="14">
        <v>225</v>
      </c>
      <c r="E76" s="15">
        <v>1.4</v>
      </c>
      <c r="F76" s="14"/>
      <c r="G76" s="14">
        <v>4.0999999999999996</v>
      </c>
      <c r="H76" s="14">
        <f t="shared" si="6"/>
        <v>0</v>
      </c>
      <c r="I76" s="14">
        <f t="shared" si="7"/>
        <v>0</v>
      </c>
      <c r="J76" s="14">
        <f t="shared" si="8"/>
        <v>0</v>
      </c>
      <c r="K76" s="14" t="s">
        <v>824</v>
      </c>
    </row>
    <row r="77" spans="1:11" ht="16" x14ac:dyDescent="0.2">
      <c r="A77" s="14" t="s">
        <v>49</v>
      </c>
      <c r="B77" s="14">
        <v>172</v>
      </c>
      <c r="C77" s="14" t="s">
        <v>668</v>
      </c>
      <c r="D77" s="14">
        <v>86</v>
      </c>
      <c r="E77" s="15">
        <v>1.2</v>
      </c>
      <c r="F77" s="14">
        <v>3.42</v>
      </c>
      <c r="G77" s="14">
        <v>3.8</v>
      </c>
      <c r="H77" s="14">
        <f t="shared" si="6"/>
        <v>1</v>
      </c>
      <c r="I77" s="14">
        <f t="shared" si="7"/>
        <v>0</v>
      </c>
      <c r="J77" s="14">
        <f t="shared" si="8"/>
        <v>0</v>
      </c>
      <c r="K77" s="14" t="s">
        <v>615</v>
      </c>
    </row>
    <row r="78" spans="1:11" ht="16" x14ac:dyDescent="0.2">
      <c r="A78" s="14" t="s">
        <v>113</v>
      </c>
      <c r="B78" s="14">
        <v>149</v>
      </c>
      <c r="C78" s="14" t="s">
        <v>752</v>
      </c>
      <c r="D78" s="14">
        <v>40</v>
      </c>
      <c r="E78" s="15">
        <v>0.06</v>
      </c>
      <c r="F78" s="14">
        <v>0.83</v>
      </c>
      <c r="G78" s="14">
        <v>3.7</v>
      </c>
      <c r="H78" s="14">
        <f t="shared" si="6"/>
        <v>0</v>
      </c>
      <c r="I78" s="14">
        <f t="shared" si="7"/>
        <v>0</v>
      </c>
      <c r="J78" s="14">
        <f t="shared" si="8"/>
        <v>0</v>
      </c>
      <c r="K78" s="14" t="s">
        <v>755</v>
      </c>
    </row>
    <row r="79" spans="1:11" ht="16" x14ac:dyDescent="0.2">
      <c r="A79" s="14" t="s">
        <v>464</v>
      </c>
      <c r="B79" s="14">
        <v>141</v>
      </c>
      <c r="C79" s="14" t="s">
        <v>960</v>
      </c>
      <c r="D79" s="14">
        <v>395</v>
      </c>
      <c r="E79" s="15">
        <v>1.8</v>
      </c>
      <c r="F79" s="14">
        <v>5</v>
      </c>
      <c r="G79" s="14">
        <v>4.4000000000000004</v>
      </c>
      <c r="H79" s="14">
        <f t="shared" si="6"/>
        <v>1</v>
      </c>
      <c r="I79" s="14">
        <f t="shared" si="7"/>
        <v>0</v>
      </c>
      <c r="J79" s="14">
        <f t="shared" si="8"/>
        <v>0</v>
      </c>
      <c r="K79" s="14" t="s">
        <v>615</v>
      </c>
    </row>
    <row r="80" spans="1:11" ht="16" x14ac:dyDescent="0.2">
      <c r="A80" s="14" t="s">
        <v>393</v>
      </c>
      <c r="B80" s="14">
        <v>133</v>
      </c>
      <c r="C80" s="14" t="s">
        <v>923</v>
      </c>
      <c r="D80" s="14">
        <v>80</v>
      </c>
      <c r="E80" s="15">
        <v>0.7</v>
      </c>
      <c r="F80" s="14">
        <v>2.92</v>
      </c>
      <c r="G80" s="14">
        <v>3.7</v>
      </c>
      <c r="H80" s="14">
        <f t="shared" si="6"/>
        <v>0</v>
      </c>
      <c r="I80" s="14">
        <f t="shared" si="7"/>
        <v>0</v>
      </c>
      <c r="J80" s="14">
        <f t="shared" si="8"/>
        <v>0</v>
      </c>
      <c r="K80" s="14" t="s">
        <v>926</v>
      </c>
    </row>
    <row r="81" spans="1:11" ht="16" x14ac:dyDescent="0.2">
      <c r="A81" s="14" t="s">
        <v>71</v>
      </c>
      <c r="B81" s="14">
        <v>129</v>
      </c>
      <c r="C81" s="14" t="s">
        <v>705</v>
      </c>
      <c r="D81" s="14">
        <v>100</v>
      </c>
      <c r="E81" s="15">
        <v>1.5</v>
      </c>
      <c r="F81" s="14"/>
      <c r="G81" s="14">
        <v>4.4000000000000004</v>
      </c>
      <c r="H81" s="14">
        <f t="shared" si="6"/>
        <v>1</v>
      </c>
      <c r="I81" s="14">
        <f t="shared" si="7"/>
        <v>0</v>
      </c>
      <c r="J81" s="14">
        <f t="shared" si="8"/>
        <v>0</v>
      </c>
      <c r="K81" s="14" t="s">
        <v>1048</v>
      </c>
    </row>
    <row r="82" spans="1:11" ht="16" x14ac:dyDescent="0.2">
      <c r="A82" s="14" t="s">
        <v>369</v>
      </c>
      <c r="B82" s="14">
        <v>124</v>
      </c>
      <c r="C82" s="14" t="s">
        <v>908</v>
      </c>
      <c r="D82" s="14">
        <v>208</v>
      </c>
      <c r="E82" s="15">
        <v>2.0457451342520243</v>
      </c>
      <c r="F82" s="14">
        <v>4.5599999999999996</v>
      </c>
      <c r="G82" s="14">
        <v>3.7</v>
      </c>
      <c r="H82" s="14">
        <f t="shared" si="6"/>
        <v>0</v>
      </c>
      <c r="I82" s="14">
        <f t="shared" si="7"/>
        <v>0</v>
      </c>
      <c r="J82" s="14">
        <f t="shared" si="8"/>
        <v>0</v>
      </c>
      <c r="K82" s="14" t="s">
        <v>911</v>
      </c>
    </row>
    <row r="83" spans="1:11" ht="16" x14ac:dyDescent="0.2">
      <c r="A83" s="14" t="s">
        <v>520</v>
      </c>
      <c r="B83" s="14">
        <v>117</v>
      </c>
      <c r="C83" s="14" t="s">
        <v>999</v>
      </c>
      <c r="D83" s="14">
        <v>95</v>
      </c>
      <c r="E83" s="15">
        <v>1.4</v>
      </c>
      <c r="F83" s="14">
        <v>4.1399999999999997</v>
      </c>
      <c r="G83" s="14">
        <v>4.3</v>
      </c>
      <c r="H83" s="14">
        <f t="shared" si="6"/>
        <v>1</v>
      </c>
      <c r="I83" s="14">
        <f t="shared" si="7"/>
        <v>0</v>
      </c>
      <c r="J83" s="14">
        <f t="shared" si="8"/>
        <v>0</v>
      </c>
      <c r="K83" s="14" t="s">
        <v>1092</v>
      </c>
    </row>
    <row r="84" spans="1:11" ht="16" x14ac:dyDescent="0.2">
      <c r="A84" s="14" t="s">
        <v>385</v>
      </c>
      <c r="B84" s="14">
        <v>115</v>
      </c>
      <c r="C84" s="14" t="s">
        <v>748</v>
      </c>
      <c r="D84" s="14">
        <v>549</v>
      </c>
      <c r="E84" s="15">
        <v>2.2999999999999998</v>
      </c>
      <c r="F84" s="14">
        <v>10.19</v>
      </c>
      <c r="G84" s="14">
        <v>3.8</v>
      </c>
      <c r="H84" s="14">
        <f t="shared" si="6"/>
        <v>0</v>
      </c>
      <c r="I84" s="14">
        <f t="shared" si="7"/>
        <v>0</v>
      </c>
      <c r="J84" s="14">
        <f t="shared" si="8"/>
        <v>0</v>
      </c>
      <c r="K84" s="14" t="s">
        <v>700</v>
      </c>
    </row>
    <row r="85" spans="1:11" ht="16" x14ac:dyDescent="0.2">
      <c r="A85" s="14" t="s">
        <v>395</v>
      </c>
      <c r="B85" s="14">
        <v>114</v>
      </c>
      <c r="C85" s="14" t="s">
        <v>672</v>
      </c>
      <c r="D85" s="14">
        <v>170</v>
      </c>
      <c r="E85" s="15">
        <v>1</v>
      </c>
      <c r="F85" s="14">
        <v>5.14</v>
      </c>
      <c r="G85" s="14">
        <v>4.5</v>
      </c>
      <c r="H85" s="14">
        <f t="shared" si="6"/>
        <v>1</v>
      </c>
      <c r="I85" s="14">
        <f t="shared" si="7"/>
        <v>0</v>
      </c>
      <c r="J85" s="14">
        <f t="shared" si="8"/>
        <v>0</v>
      </c>
      <c r="K85" s="14" t="s">
        <v>859</v>
      </c>
    </row>
    <row r="86" spans="1:11" ht="16" x14ac:dyDescent="0.2">
      <c r="A86" s="14" t="s">
        <v>381</v>
      </c>
      <c r="B86" s="14">
        <v>106</v>
      </c>
      <c r="C86" s="14" t="s">
        <v>668</v>
      </c>
      <c r="D86" s="14">
        <v>86</v>
      </c>
      <c r="E86" s="15">
        <v>0.9</v>
      </c>
      <c r="F86" s="14">
        <v>3.2</v>
      </c>
      <c r="G86" s="14">
        <v>3.8</v>
      </c>
      <c r="H86" s="14">
        <f t="shared" si="6"/>
        <v>1</v>
      </c>
      <c r="I86" s="14">
        <f t="shared" si="7"/>
        <v>0</v>
      </c>
      <c r="J86" s="14">
        <f t="shared" si="8"/>
        <v>0</v>
      </c>
      <c r="K86" s="14" t="s">
        <v>915</v>
      </c>
    </row>
    <row r="87" spans="1:11" ht="16" x14ac:dyDescent="0.2">
      <c r="A87" s="14" t="s">
        <v>321</v>
      </c>
      <c r="B87" s="14">
        <v>104</v>
      </c>
      <c r="C87" s="14" t="s">
        <v>683</v>
      </c>
      <c r="D87" s="14">
        <v>151</v>
      </c>
      <c r="E87" s="15">
        <v>1.4</v>
      </c>
      <c r="F87" s="14">
        <v>8.17</v>
      </c>
      <c r="G87" s="14">
        <v>3.8</v>
      </c>
      <c r="H87" s="14">
        <f t="shared" si="6"/>
        <v>1</v>
      </c>
      <c r="I87" s="14">
        <f t="shared" si="7"/>
        <v>0</v>
      </c>
      <c r="J87" s="14">
        <f t="shared" si="8"/>
        <v>0</v>
      </c>
      <c r="K87" s="14" t="s">
        <v>878</v>
      </c>
    </row>
    <row r="88" spans="1:11" ht="16" x14ac:dyDescent="0.2">
      <c r="A88" s="14" t="s">
        <v>456</v>
      </c>
      <c r="B88" s="14">
        <v>103</v>
      </c>
      <c r="C88" s="14" t="s">
        <v>960</v>
      </c>
      <c r="D88" s="14">
        <v>300</v>
      </c>
      <c r="E88" s="15">
        <v>1.2</v>
      </c>
      <c r="F88" s="14">
        <v>5</v>
      </c>
      <c r="G88" s="14">
        <v>3.4</v>
      </c>
      <c r="H88" s="14">
        <f t="shared" si="6"/>
        <v>1</v>
      </c>
      <c r="I88" s="14">
        <f t="shared" si="7"/>
        <v>0</v>
      </c>
      <c r="J88" s="14">
        <f t="shared" si="8"/>
        <v>0</v>
      </c>
      <c r="K88" s="14" t="s">
        <v>1055</v>
      </c>
    </row>
    <row r="89" spans="1:11" ht="16" x14ac:dyDescent="0.2">
      <c r="A89" s="14" t="s">
        <v>145</v>
      </c>
      <c r="B89" s="14">
        <v>103</v>
      </c>
      <c r="C89" s="14" t="s">
        <v>769</v>
      </c>
      <c r="D89" s="14">
        <v>88</v>
      </c>
      <c r="E89" s="15">
        <v>1.5</v>
      </c>
      <c r="F89" s="14">
        <v>4.33</v>
      </c>
      <c r="G89" s="14">
        <v>4.3</v>
      </c>
      <c r="H89" s="14">
        <f t="shared" si="6"/>
        <v>1</v>
      </c>
      <c r="I89" s="14">
        <f t="shared" si="7"/>
        <v>0</v>
      </c>
      <c r="J89" s="14">
        <f t="shared" si="8"/>
        <v>0</v>
      </c>
      <c r="K89" s="14" t="s">
        <v>771</v>
      </c>
    </row>
    <row r="90" spans="1:11" ht="16" x14ac:dyDescent="0.2">
      <c r="A90" s="14" t="s">
        <v>488</v>
      </c>
      <c r="B90" s="14">
        <v>87</v>
      </c>
      <c r="C90" s="14" t="s">
        <v>980</v>
      </c>
      <c r="D90" s="14">
        <v>38</v>
      </c>
      <c r="E90" s="15"/>
      <c r="F90" s="14">
        <v>0.89900000000000002</v>
      </c>
      <c r="G90" s="14">
        <v>4.2</v>
      </c>
      <c r="H90" s="14">
        <f t="shared" si="6"/>
        <v>0</v>
      </c>
      <c r="I90" s="14">
        <f t="shared" si="7"/>
        <v>0</v>
      </c>
      <c r="J90" s="14">
        <f t="shared" si="8"/>
        <v>0</v>
      </c>
      <c r="K90" s="14" t="s">
        <v>982</v>
      </c>
    </row>
    <row r="91" spans="1:11" ht="16" x14ac:dyDescent="0.2">
      <c r="A91" s="14" t="s">
        <v>410</v>
      </c>
      <c r="B91" s="14">
        <v>84</v>
      </c>
      <c r="C91" s="14" t="s">
        <v>674</v>
      </c>
      <c r="D91" s="14">
        <v>148</v>
      </c>
      <c r="E91" s="15">
        <v>1</v>
      </c>
      <c r="F91" s="14"/>
      <c r="G91" s="14">
        <v>4.0999999999999996</v>
      </c>
      <c r="H91" s="14">
        <f t="shared" si="6"/>
        <v>1</v>
      </c>
      <c r="I91" s="14">
        <f t="shared" si="7"/>
        <v>0</v>
      </c>
      <c r="J91" s="14">
        <f t="shared" si="8"/>
        <v>0</v>
      </c>
      <c r="K91" s="14" t="s">
        <v>1091</v>
      </c>
    </row>
    <row r="92" spans="1:11" ht="16" x14ac:dyDescent="0.2">
      <c r="A92" s="14" t="s">
        <v>341</v>
      </c>
      <c r="B92" s="14">
        <v>80</v>
      </c>
      <c r="C92" s="14" t="s">
        <v>692</v>
      </c>
      <c r="D92" s="14">
        <v>80</v>
      </c>
      <c r="E92" s="15">
        <v>1.5</v>
      </c>
      <c r="F92" s="14">
        <v>4</v>
      </c>
      <c r="G92" s="14">
        <v>4</v>
      </c>
      <c r="H92" s="14">
        <f t="shared" si="6"/>
        <v>1</v>
      </c>
      <c r="I92" s="14">
        <f t="shared" si="7"/>
        <v>0</v>
      </c>
      <c r="J92" s="14">
        <f t="shared" si="8"/>
        <v>0</v>
      </c>
      <c r="K92" s="14" t="s">
        <v>615</v>
      </c>
    </row>
    <row r="93" spans="1:11" ht="16" x14ac:dyDescent="0.2">
      <c r="A93" s="14" t="s">
        <v>327</v>
      </c>
      <c r="B93" s="14">
        <v>79</v>
      </c>
      <c r="C93" s="14" t="s">
        <v>610</v>
      </c>
      <c r="D93" s="14">
        <v>143</v>
      </c>
      <c r="E93" s="15">
        <v>1.2</v>
      </c>
      <c r="F93" s="14">
        <v>3.7</v>
      </c>
      <c r="G93" s="14">
        <v>3.5</v>
      </c>
      <c r="H93" s="14">
        <f t="shared" si="6"/>
        <v>1</v>
      </c>
      <c r="I93" s="14">
        <f t="shared" si="7"/>
        <v>0</v>
      </c>
      <c r="J93" s="14">
        <f t="shared" si="8"/>
        <v>0</v>
      </c>
      <c r="K93" s="14" t="s">
        <v>1051</v>
      </c>
    </row>
    <row r="94" spans="1:11" ht="16" x14ac:dyDescent="0.2">
      <c r="A94" s="14" t="s">
        <v>287</v>
      </c>
      <c r="B94" s="14">
        <v>78</v>
      </c>
      <c r="C94" s="14" t="s">
        <v>648</v>
      </c>
      <c r="D94" s="14">
        <v>305</v>
      </c>
      <c r="E94" s="15">
        <v>0.47314880529926656</v>
      </c>
      <c r="F94" s="14"/>
      <c r="G94" s="14">
        <v>4.5</v>
      </c>
      <c r="H94" s="14">
        <f t="shared" si="6"/>
        <v>0</v>
      </c>
      <c r="I94" s="14">
        <f t="shared" si="7"/>
        <v>0</v>
      </c>
      <c r="J94" s="14">
        <f t="shared" si="8"/>
        <v>0</v>
      </c>
      <c r="K94" s="14" t="s">
        <v>861</v>
      </c>
    </row>
    <row r="95" spans="1:11" ht="16" x14ac:dyDescent="0.2">
      <c r="A95" s="14" t="s">
        <v>460</v>
      </c>
      <c r="B95" s="14">
        <v>75</v>
      </c>
      <c r="C95" s="14" t="s">
        <v>960</v>
      </c>
      <c r="D95" s="14">
        <v>380</v>
      </c>
      <c r="E95" s="15">
        <v>1.2</v>
      </c>
      <c r="F95" s="14">
        <v>7.4</v>
      </c>
      <c r="G95" s="14">
        <v>4.2</v>
      </c>
      <c r="H95" s="14">
        <f t="shared" si="6"/>
        <v>0</v>
      </c>
      <c r="I95" s="14">
        <f t="shared" si="7"/>
        <v>0</v>
      </c>
      <c r="J95" s="14">
        <f t="shared" si="8"/>
        <v>0</v>
      </c>
      <c r="K95" s="14" t="s">
        <v>963</v>
      </c>
    </row>
    <row r="96" spans="1:11" ht="16" x14ac:dyDescent="0.2">
      <c r="A96" s="14" t="s">
        <v>462</v>
      </c>
      <c r="B96" s="14">
        <v>75</v>
      </c>
      <c r="C96" s="14" t="s">
        <v>960</v>
      </c>
      <c r="D96" s="14">
        <v>300</v>
      </c>
      <c r="E96" s="15">
        <v>1.2</v>
      </c>
      <c r="F96" s="14">
        <v>5</v>
      </c>
      <c r="G96" s="14">
        <v>4</v>
      </c>
      <c r="H96" s="14">
        <f t="shared" si="6"/>
        <v>1</v>
      </c>
      <c r="I96" s="14">
        <f t="shared" si="7"/>
        <v>0</v>
      </c>
      <c r="J96" s="14">
        <f t="shared" si="8"/>
        <v>0</v>
      </c>
      <c r="K96" s="14" t="s">
        <v>615</v>
      </c>
    </row>
    <row r="97" spans="1:11" ht="16" x14ac:dyDescent="0.2">
      <c r="A97" s="14" t="s">
        <v>13</v>
      </c>
      <c r="B97" s="14">
        <v>75</v>
      </c>
      <c r="C97" s="14" t="s">
        <v>645</v>
      </c>
      <c r="D97" s="14">
        <v>66</v>
      </c>
      <c r="E97" s="15">
        <v>0.08</v>
      </c>
      <c r="F97" s="14">
        <v>0.95</v>
      </c>
      <c r="G97" s="14">
        <v>3.9</v>
      </c>
      <c r="H97" s="14">
        <f t="shared" si="6"/>
        <v>0</v>
      </c>
      <c r="I97" s="14">
        <f t="shared" si="7"/>
        <v>0</v>
      </c>
      <c r="J97" s="14">
        <f t="shared" si="8"/>
        <v>0</v>
      </c>
      <c r="K97" s="14" t="s">
        <v>647</v>
      </c>
    </row>
    <row r="98" spans="1:11" ht="16" x14ac:dyDescent="0.2">
      <c r="A98" s="14" t="s">
        <v>181</v>
      </c>
      <c r="B98" s="14">
        <v>74</v>
      </c>
      <c r="C98" s="14" t="s">
        <v>705</v>
      </c>
      <c r="D98" s="14">
        <v>100</v>
      </c>
      <c r="E98" s="15"/>
      <c r="F98" s="14">
        <v>1.31</v>
      </c>
      <c r="G98" s="14">
        <v>4.3</v>
      </c>
      <c r="H98" s="14">
        <f t="shared" ref="H98:H129" si="9">IF(OR(ISNUMBER(SEARCH("froth",K98)), ISNUMBER(SEARCH("wand",K98)), ISNUMBER(SEARCH("carafe",K98))), 1, 0)</f>
        <v>0</v>
      </c>
      <c r="I98" s="14">
        <f t="shared" ref="I98:I129" si="10">IF(ISNUMBER(SEARCH("grind", K98)), 1, 0)</f>
        <v>0</v>
      </c>
      <c r="J98" s="14">
        <f t="shared" ref="J98:J129" si="11">IF(OR(ISNUMBER(SEARCH("manual", K98)), ISNUMBER(SEARCH("lever", K98)), ISNUMBER(SEARCH("stovetop", K98))), 1, 0)</f>
        <v>0</v>
      </c>
      <c r="K98" s="14" t="s">
        <v>1094</v>
      </c>
    </row>
    <row r="99" spans="1:11" ht="16" x14ac:dyDescent="0.2">
      <c r="A99" s="14" t="s">
        <v>175</v>
      </c>
      <c r="B99" s="14">
        <v>73</v>
      </c>
      <c r="C99" s="14" t="s">
        <v>799</v>
      </c>
      <c r="D99" s="14">
        <v>41</v>
      </c>
      <c r="E99" s="15"/>
      <c r="F99" s="14">
        <v>0.8</v>
      </c>
      <c r="G99" s="14">
        <v>3.8</v>
      </c>
      <c r="H99" s="14">
        <f t="shared" si="9"/>
        <v>0</v>
      </c>
      <c r="I99" s="14">
        <f t="shared" si="10"/>
        <v>0</v>
      </c>
      <c r="J99" s="14">
        <f t="shared" si="11"/>
        <v>0</v>
      </c>
      <c r="K99" s="14" t="s">
        <v>801</v>
      </c>
    </row>
    <row r="100" spans="1:11" ht="16" x14ac:dyDescent="0.2">
      <c r="A100" s="14" t="s">
        <v>514</v>
      </c>
      <c r="B100" s="14">
        <v>71</v>
      </c>
      <c r="C100" s="14" t="s">
        <v>999</v>
      </c>
      <c r="D100" s="14">
        <v>30</v>
      </c>
      <c r="E100" s="15">
        <v>0.4</v>
      </c>
      <c r="F100" s="14">
        <v>1.5</v>
      </c>
      <c r="G100" s="14">
        <v>4.2</v>
      </c>
      <c r="H100" s="14">
        <f t="shared" si="9"/>
        <v>0</v>
      </c>
      <c r="I100" s="14">
        <f t="shared" si="10"/>
        <v>1</v>
      </c>
      <c r="J100" s="14">
        <f t="shared" si="11"/>
        <v>0</v>
      </c>
      <c r="K100" s="14" t="s">
        <v>1093</v>
      </c>
    </row>
    <row r="101" spans="1:11" ht="16" x14ac:dyDescent="0.2">
      <c r="A101" s="14" t="s">
        <v>81</v>
      </c>
      <c r="B101" s="14">
        <v>69</v>
      </c>
      <c r="C101" s="14" t="s">
        <v>716</v>
      </c>
      <c r="D101" s="14">
        <v>114</v>
      </c>
      <c r="E101" s="15">
        <v>0.9</v>
      </c>
      <c r="F101" s="14"/>
      <c r="G101" s="14">
        <v>4</v>
      </c>
      <c r="H101" s="14">
        <f t="shared" si="9"/>
        <v>1</v>
      </c>
      <c r="I101" s="14">
        <f t="shared" si="10"/>
        <v>0</v>
      </c>
      <c r="J101" s="14">
        <f t="shared" si="11"/>
        <v>0</v>
      </c>
      <c r="K101" s="14" t="s">
        <v>719</v>
      </c>
    </row>
    <row r="102" spans="1:11" ht="16" x14ac:dyDescent="0.2">
      <c r="A102" s="14" t="s">
        <v>424</v>
      </c>
      <c r="B102" s="14">
        <v>67</v>
      </c>
      <c r="C102" s="14" t="s">
        <v>656</v>
      </c>
      <c r="D102" s="14">
        <v>398</v>
      </c>
      <c r="E102" s="15">
        <v>2</v>
      </c>
      <c r="F102" s="14">
        <v>10</v>
      </c>
      <c r="G102" s="14">
        <v>4.2</v>
      </c>
      <c r="H102" s="14">
        <f t="shared" si="9"/>
        <v>1</v>
      </c>
      <c r="I102" s="14">
        <f t="shared" si="10"/>
        <v>0</v>
      </c>
      <c r="J102" s="14">
        <f t="shared" si="11"/>
        <v>0</v>
      </c>
      <c r="K102" s="14" t="s">
        <v>615</v>
      </c>
    </row>
    <row r="103" spans="1:11" ht="16" x14ac:dyDescent="0.2">
      <c r="A103" s="14" t="s">
        <v>498</v>
      </c>
      <c r="B103" s="14">
        <v>67</v>
      </c>
      <c r="C103" s="14" t="s">
        <v>993</v>
      </c>
      <c r="D103" s="14">
        <v>90</v>
      </c>
      <c r="E103" s="15">
        <v>1</v>
      </c>
      <c r="F103" s="14">
        <v>3.86</v>
      </c>
      <c r="G103" s="14">
        <v>3.3</v>
      </c>
      <c r="H103" s="14">
        <f t="shared" si="9"/>
        <v>0</v>
      </c>
      <c r="I103" s="14">
        <f t="shared" si="10"/>
        <v>0</v>
      </c>
      <c r="J103" s="14">
        <f t="shared" si="11"/>
        <v>0</v>
      </c>
      <c r="K103" s="14" t="s">
        <v>1065</v>
      </c>
    </row>
    <row r="104" spans="1:11" ht="16" x14ac:dyDescent="0.2">
      <c r="A104" s="14" t="s">
        <v>345</v>
      </c>
      <c r="B104" s="14">
        <v>64</v>
      </c>
      <c r="C104" s="14" t="s">
        <v>893</v>
      </c>
      <c r="D104" s="14">
        <v>90</v>
      </c>
      <c r="E104" s="15">
        <v>1.4</v>
      </c>
      <c r="F104" s="14">
        <v>4.42</v>
      </c>
      <c r="G104" s="14">
        <v>3.4</v>
      </c>
      <c r="H104" s="14">
        <f t="shared" si="9"/>
        <v>0</v>
      </c>
      <c r="I104" s="14">
        <f t="shared" si="10"/>
        <v>0</v>
      </c>
      <c r="J104" s="14">
        <f t="shared" si="11"/>
        <v>0</v>
      </c>
      <c r="K104" s="14" t="s">
        <v>895</v>
      </c>
    </row>
    <row r="105" spans="1:11" ht="16" x14ac:dyDescent="0.2">
      <c r="A105" s="14" t="s">
        <v>405</v>
      </c>
      <c r="B105" s="14">
        <v>63</v>
      </c>
      <c r="C105" s="14" t="s">
        <v>930</v>
      </c>
      <c r="D105" s="14">
        <v>150</v>
      </c>
      <c r="E105" s="15">
        <v>0.6</v>
      </c>
      <c r="F105" s="14"/>
      <c r="G105" s="14">
        <v>4.2</v>
      </c>
      <c r="H105" s="14">
        <f t="shared" si="9"/>
        <v>0</v>
      </c>
      <c r="I105" s="14">
        <f t="shared" si="10"/>
        <v>0</v>
      </c>
      <c r="J105" s="14">
        <f t="shared" si="11"/>
        <v>0</v>
      </c>
      <c r="K105" s="14" t="s">
        <v>932</v>
      </c>
    </row>
    <row r="106" spans="1:11" ht="16" x14ac:dyDescent="0.2">
      <c r="A106" s="14" t="s">
        <v>383</v>
      </c>
      <c r="B106" s="14">
        <v>61</v>
      </c>
      <c r="C106" s="14" t="s">
        <v>748</v>
      </c>
      <c r="D106" s="14">
        <v>388</v>
      </c>
      <c r="E106" s="15">
        <v>0.47314880529926656</v>
      </c>
      <c r="F106" s="14">
        <v>0.26</v>
      </c>
      <c r="G106" s="14">
        <v>4.4000000000000004</v>
      </c>
      <c r="H106" s="14">
        <f t="shared" si="9"/>
        <v>1</v>
      </c>
      <c r="I106" s="14">
        <f t="shared" si="10"/>
        <v>0</v>
      </c>
      <c r="J106" s="14">
        <f t="shared" si="11"/>
        <v>0</v>
      </c>
      <c r="K106" s="14" t="s">
        <v>615</v>
      </c>
    </row>
    <row r="107" spans="1:11" ht="16" x14ac:dyDescent="0.2">
      <c r="A107" s="14" t="s">
        <v>129</v>
      </c>
      <c r="B107" s="14">
        <v>56</v>
      </c>
      <c r="C107" s="14" t="s">
        <v>764</v>
      </c>
      <c r="D107" s="14">
        <v>50</v>
      </c>
      <c r="E107" s="15">
        <v>0.08</v>
      </c>
      <c r="F107" s="14">
        <v>0.75</v>
      </c>
      <c r="G107" s="14">
        <v>4</v>
      </c>
      <c r="H107" s="14">
        <f t="shared" si="9"/>
        <v>0</v>
      </c>
      <c r="I107" s="14">
        <f t="shared" si="10"/>
        <v>0</v>
      </c>
      <c r="J107" s="14">
        <f t="shared" si="11"/>
        <v>0</v>
      </c>
      <c r="K107" s="14" t="s">
        <v>677</v>
      </c>
    </row>
    <row r="108" spans="1:11" ht="16" x14ac:dyDescent="0.2">
      <c r="A108" s="14" t="s">
        <v>165</v>
      </c>
      <c r="B108" s="14">
        <v>51</v>
      </c>
      <c r="C108" s="14" t="s">
        <v>790</v>
      </c>
      <c r="D108" s="14">
        <v>40</v>
      </c>
      <c r="E108" s="15"/>
      <c r="F108" s="14">
        <v>0.6</v>
      </c>
      <c r="G108" s="14">
        <v>3.9</v>
      </c>
      <c r="H108" s="14">
        <f t="shared" si="9"/>
        <v>0</v>
      </c>
      <c r="I108" s="14">
        <f t="shared" si="10"/>
        <v>0</v>
      </c>
      <c r="J108" s="14">
        <f t="shared" si="11"/>
        <v>0</v>
      </c>
      <c r="K108" s="14" t="s">
        <v>792</v>
      </c>
    </row>
    <row r="109" spans="1:11" ht="16" x14ac:dyDescent="0.2">
      <c r="A109" s="14" t="s">
        <v>47</v>
      </c>
      <c r="B109" s="14">
        <v>50</v>
      </c>
      <c r="C109" s="14" t="s">
        <v>693</v>
      </c>
      <c r="D109" s="14">
        <v>200</v>
      </c>
      <c r="E109" s="15">
        <v>2</v>
      </c>
      <c r="F109" s="14"/>
      <c r="G109" s="14">
        <v>4.2</v>
      </c>
      <c r="H109" s="14">
        <f t="shared" si="9"/>
        <v>1</v>
      </c>
      <c r="I109" s="14">
        <f t="shared" si="10"/>
        <v>1</v>
      </c>
      <c r="J109" s="14">
        <f t="shared" si="11"/>
        <v>0</v>
      </c>
      <c r="K109" s="14" t="s">
        <v>695</v>
      </c>
    </row>
    <row r="110" spans="1:11" ht="16" x14ac:dyDescent="0.2">
      <c r="A110" s="14" t="s">
        <v>35</v>
      </c>
      <c r="B110" s="14">
        <v>50</v>
      </c>
      <c r="C110" s="14" t="s">
        <v>645</v>
      </c>
      <c r="D110" s="14">
        <v>92</v>
      </c>
      <c r="E110" s="15">
        <v>0.8</v>
      </c>
      <c r="F110" s="14">
        <v>3.49</v>
      </c>
      <c r="G110" s="14">
        <v>3.1</v>
      </c>
      <c r="H110" s="14">
        <f t="shared" si="9"/>
        <v>0</v>
      </c>
      <c r="I110" s="14">
        <f t="shared" si="10"/>
        <v>0</v>
      </c>
      <c r="J110" s="14">
        <f t="shared" si="11"/>
        <v>0</v>
      </c>
      <c r="K110" s="14" t="s">
        <v>677</v>
      </c>
    </row>
    <row r="111" spans="1:11" ht="16" x14ac:dyDescent="0.2">
      <c r="A111" s="14" t="s">
        <v>1</v>
      </c>
      <c r="B111" s="14">
        <v>46</v>
      </c>
      <c r="C111" s="14" t="s">
        <v>610</v>
      </c>
      <c r="D111" s="14">
        <v>169</v>
      </c>
      <c r="E111" s="15">
        <v>1.2</v>
      </c>
      <c r="F111" s="14">
        <v>3.7</v>
      </c>
      <c r="G111" s="14">
        <v>4.0999999999999996</v>
      </c>
      <c r="H111" s="14">
        <f t="shared" si="9"/>
        <v>1</v>
      </c>
      <c r="I111" s="14">
        <f t="shared" si="10"/>
        <v>0</v>
      </c>
      <c r="J111" s="14">
        <f t="shared" si="11"/>
        <v>0</v>
      </c>
      <c r="K111" s="14" t="s">
        <v>615</v>
      </c>
    </row>
    <row r="112" spans="1:11" ht="16" x14ac:dyDescent="0.2">
      <c r="A112" s="14" t="s">
        <v>359</v>
      </c>
      <c r="B112" s="14">
        <v>44</v>
      </c>
      <c r="C112" s="14" t="s">
        <v>905</v>
      </c>
      <c r="D112" s="14">
        <v>198</v>
      </c>
      <c r="E112" s="15">
        <v>0.08</v>
      </c>
      <c r="F112" s="14">
        <v>1.2</v>
      </c>
      <c r="G112" s="14">
        <v>4.2</v>
      </c>
      <c r="H112" s="14">
        <f t="shared" si="9"/>
        <v>0</v>
      </c>
      <c r="I112" s="14">
        <f t="shared" si="10"/>
        <v>0</v>
      </c>
      <c r="J112" s="14">
        <f t="shared" si="11"/>
        <v>0</v>
      </c>
      <c r="K112" s="14" t="s">
        <v>647</v>
      </c>
    </row>
    <row r="113" spans="1:11" ht="16" x14ac:dyDescent="0.2">
      <c r="A113" s="14" t="s">
        <v>556</v>
      </c>
      <c r="B113" s="14">
        <v>43</v>
      </c>
      <c r="C113" s="14" t="s">
        <v>740</v>
      </c>
      <c r="D113" s="14">
        <v>149</v>
      </c>
      <c r="E113" s="15">
        <v>1</v>
      </c>
      <c r="F113" s="14"/>
      <c r="G113" s="14">
        <v>4.3</v>
      </c>
      <c r="H113" s="14">
        <f t="shared" si="9"/>
        <v>0</v>
      </c>
      <c r="I113" s="14">
        <f t="shared" si="10"/>
        <v>0</v>
      </c>
      <c r="J113" s="14">
        <f t="shared" si="11"/>
        <v>0</v>
      </c>
      <c r="K113" s="14" t="s">
        <v>1023</v>
      </c>
    </row>
    <row r="114" spans="1:11" ht="16" x14ac:dyDescent="0.2">
      <c r="A114" s="14" t="s">
        <v>53</v>
      </c>
      <c r="B114" s="14">
        <v>39</v>
      </c>
      <c r="C114" s="14" t="s">
        <v>668</v>
      </c>
      <c r="D114" s="14">
        <v>173</v>
      </c>
      <c r="E114" s="15">
        <v>1.5</v>
      </c>
      <c r="F114" s="14">
        <v>4.2</v>
      </c>
      <c r="G114" s="14">
        <v>3.6</v>
      </c>
      <c r="H114" s="14">
        <f t="shared" si="9"/>
        <v>1</v>
      </c>
      <c r="I114" s="14">
        <f t="shared" si="10"/>
        <v>0</v>
      </c>
      <c r="J114" s="14">
        <f t="shared" si="11"/>
        <v>0</v>
      </c>
      <c r="K114" s="14" t="s">
        <v>698</v>
      </c>
    </row>
    <row r="115" spans="1:11" ht="16" x14ac:dyDescent="0.2">
      <c r="A115" s="14" t="s">
        <v>147</v>
      </c>
      <c r="B115" s="14">
        <v>38</v>
      </c>
      <c r="C115" s="14" t="s">
        <v>748</v>
      </c>
      <c r="D115" s="14">
        <v>300</v>
      </c>
      <c r="E115" s="15">
        <v>3.5</v>
      </c>
      <c r="F115" s="14">
        <v>14</v>
      </c>
      <c r="G115" s="14">
        <v>4.0999999999999996</v>
      </c>
      <c r="H115" s="14">
        <f t="shared" si="9"/>
        <v>0</v>
      </c>
      <c r="I115" s="14">
        <f t="shared" si="10"/>
        <v>0</v>
      </c>
      <c r="J115" s="14">
        <f t="shared" si="11"/>
        <v>0</v>
      </c>
      <c r="K115" s="14" t="s">
        <v>774</v>
      </c>
    </row>
    <row r="116" spans="1:11" ht="16" x14ac:dyDescent="0.2">
      <c r="A116" s="14" t="s">
        <v>149</v>
      </c>
      <c r="B116" s="14">
        <v>38</v>
      </c>
      <c r="C116" s="14" t="s">
        <v>775</v>
      </c>
      <c r="D116" s="14">
        <v>130</v>
      </c>
      <c r="E116" s="15">
        <v>1.3</v>
      </c>
      <c r="F116" s="14"/>
      <c r="G116" s="14">
        <v>4.4000000000000004</v>
      </c>
      <c r="H116" s="14">
        <f t="shared" si="9"/>
        <v>0</v>
      </c>
      <c r="I116" s="14">
        <f t="shared" si="10"/>
        <v>0</v>
      </c>
      <c r="J116" s="14">
        <f t="shared" si="11"/>
        <v>0</v>
      </c>
      <c r="K116" s="14" t="s">
        <v>776</v>
      </c>
    </row>
    <row r="117" spans="1:11" ht="16" x14ac:dyDescent="0.2">
      <c r="A117" s="14" t="s">
        <v>39</v>
      </c>
      <c r="B117" s="14">
        <v>38</v>
      </c>
      <c r="C117" s="14" t="s">
        <v>680</v>
      </c>
      <c r="D117" s="14">
        <v>129</v>
      </c>
      <c r="E117" s="15">
        <v>0.8</v>
      </c>
      <c r="F117" s="14">
        <v>3.43</v>
      </c>
      <c r="G117" s="14">
        <v>3.6</v>
      </c>
      <c r="H117" s="14">
        <f t="shared" si="9"/>
        <v>0</v>
      </c>
      <c r="I117" s="14">
        <f t="shared" si="10"/>
        <v>0</v>
      </c>
      <c r="J117" s="14">
        <f t="shared" si="11"/>
        <v>0</v>
      </c>
      <c r="K117" s="14" t="s">
        <v>682</v>
      </c>
    </row>
    <row r="118" spans="1:11" ht="16" x14ac:dyDescent="0.2">
      <c r="A118" s="14" t="s">
        <v>245</v>
      </c>
      <c r="B118" s="14">
        <v>34</v>
      </c>
      <c r="C118" s="14" t="s">
        <v>631</v>
      </c>
      <c r="D118" s="14">
        <v>130</v>
      </c>
      <c r="E118" s="15">
        <v>1</v>
      </c>
      <c r="F118" s="14">
        <v>3.52</v>
      </c>
      <c r="G118" s="14">
        <v>3.7</v>
      </c>
      <c r="H118" s="14">
        <f t="shared" si="9"/>
        <v>1</v>
      </c>
      <c r="I118" s="14">
        <f t="shared" si="10"/>
        <v>0</v>
      </c>
      <c r="J118" s="14">
        <f t="shared" si="11"/>
        <v>0</v>
      </c>
      <c r="K118" s="14" t="s">
        <v>615</v>
      </c>
    </row>
    <row r="119" spans="1:11" ht="16" x14ac:dyDescent="0.2">
      <c r="A119" s="14" t="s">
        <v>478</v>
      </c>
      <c r="B119" s="14">
        <v>34</v>
      </c>
      <c r="C119" s="14" t="s">
        <v>971</v>
      </c>
      <c r="D119" s="14">
        <v>40</v>
      </c>
      <c r="E119" s="15">
        <v>0.15</v>
      </c>
      <c r="F119" s="14">
        <v>0.68</v>
      </c>
      <c r="G119" s="14">
        <v>4.3</v>
      </c>
      <c r="H119" s="14">
        <f t="shared" si="9"/>
        <v>0</v>
      </c>
      <c r="I119" s="14">
        <f t="shared" si="10"/>
        <v>0</v>
      </c>
      <c r="J119" s="14">
        <f t="shared" si="11"/>
        <v>0</v>
      </c>
      <c r="K119" s="14" t="s">
        <v>647</v>
      </c>
    </row>
    <row r="120" spans="1:11" ht="16" x14ac:dyDescent="0.2">
      <c r="A120" s="14" t="s">
        <v>379</v>
      </c>
      <c r="B120" s="14">
        <v>32</v>
      </c>
      <c r="C120" s="14" t="s">
        <v>668</v>
      </c>
      <c r="D120" s="14">
        <v>169</v>
      </c>
      <c r="E120" s="15">
        <v>1.8</v>
      </c>
      <c r="F120" s="14"/>
      <c r="G120" s="14">
        <v>3.9</v>
      </c>
      <c r="H120" s="14">
        <f t="shared" si="9"/>
        <v>1</v>
      </c>
      <c r="I120" s="14">
        <f t="shared" si="10"/>
        <v>0</v>
      </c>
      <c r="J120" s="14">
        <f t="shared" si="11"/>
        <v>0</v>
      </c>
      <c r="K120" s="14" t="s">
        <v>615</v>
      </c>
    </row>
    <row r="121" spans="1:11" ht="16" x14ac:dyDescent="0.2">
      <c r="A121" s="14" t="s">
        <v>243</v>
      </c>
      <c r="B121" s="14">
        <v>32</v>
      </c>
      <c r="C121" s="14" t="s">
        <v>678</v>
      </c>
      <c r="D121" s="14">
        <v>130</v>
      </c>
      <c r="E121" s="15">
        <v>0.08</v>
      </c>
      <c r="F121" s="14">
        <v>1.35</v>
      </c>
      <c r="G121" s="14">
        <v>4.5</v>
      </c>
      <c r="H121" s="14">
        <f t="shared" si="9"/>
        <v>0</v>
      </c>
      <c r="I121" s="14">
        <f t="shared" si="10"/>
        <v>0</v>
      </c>
      <c r="J121" s="14">
        <f t="shared" si="11"/>
        <v>0</v>
      </c>
      <c r="K121" s="14" t="s">
        <v>844</v>
      </c>
    </row>
    <row r="122" spans="1:11" ht="16" x14ac:dyDescent="0.2">
      <c r="A122" s="14" t="s">
        <v>209</v>
      </c>
      <c r="B122" s="14">
        <v>32</v>
      </c>
      <c r="C122" s="14" t="s">
        <v>823</v>
      </c>
      <c r="D122" s="14">
        <v>75</v>
      </c>
      <c r="E122" s="15">
        <v>5</v>
      </c>
      <c r="F122" s="14"/>
      <c r="G122" s="14">
        <v>4.2</v>
      </c>
      <c r="H122" s="14">
        <f t="shared" si="9"/>
        <v>0</v>
      </c>
      <c r="I122" s="14">
        <f t="shared" si="10"/>
        <v>0</v>
      </c>
      <c r="J122" s="14">
        <f t="shared" si="11"/>
        <v>0</v>
      </c>
      <c r="K122" s="14" t="s">
        <v>827</v>
      </c>
    </row>
    <row r="123" spans="1:11" ht="16" x14ac:dyDescent="0.2">
      <c r="A123" s="14" t="s">
        <v>101</v>
      </c>
      <c r="B123" s="14">
        <v>32</v>
      </c>
      <c r="C123" s="14" t="s">
        <v>737</v>
      </c>
      <c r="D123" s="14">
        <v>70</v>
      </c>
      <c r="E123" s="15">
        <v>0.06</v>
      </c>
      <c r="F123" s="14"/>
      <c r="G123" s="14">
        <v>4.0999999999999996</v>
      </c>
      <c r="H123" s="14">
        <f t="shared" si="9"/>
        <v>0</v>
      </c>
      <c r="I123" s="14">
        <f t="shared" si="10"/>
        <v>0</v>
      </c>
      <c r="J123" s="14">
        <f t="shared" si="11"/>
        <v>0</v>
      </c>
      <c r="K123" s="14" t="s">
        <v>647</v>
      </c>
    </row>
    <row r="124" spans="1:11" ht="16" x14ac:dyDescent="0.2">
      <c r="A124" s="14" t="s">
        <v>151</v>
      </c>
      <c r="B124" s="14">
        <v>32</v>
      </c>
      <c r="C124" s="14" t="s">
        <v>777</v>
      </c>
      <c r="D124" s="14">
        <v>28</v>
      </c>
      <c r="E124" s="15">
        <v>0.23657440264963328</v>
      </c>
      <c r="F124" s="14"/>
      <c r="G124" s="14">
        <v>4.0999999999999996</v>
      </c>
      <c r="H124" s="14">
        <f t="shared" si="9"/>
        <v>0</v>
      </c>
      <c r="I124" s="14">
        <f t="shared" si="10"/>
        <v>0</v>
      </c>
      <c r="J124" s="14">
        <f t="shared" si="11"/>
        <v>0</v>
      </c>
      <c r="K124" s="14" t="s">
        <v>647</v>
      </c>
    </row>
    <row r="125" spans="1:11" ht="16" x14ac:dyDescent="0.2">
      <c r="A125" s="14" t="s">
        <v>263</v>
      </c>
      <c r="B125" s="14">
        <v>30</v>
      </c>
      <c r="C125" s="14" t="s">
        <v>648</v>
      </c>
      <c r="D125" s="14">
        <v>299</v>
      </c>
      <c r="E125" s="15">
        <v>1</v>
      </c>
      <c r="F125" s="14">
        <v>4.37</v>
      </c>
      <c r="G125" s="14">
        <v>3.7</v>
      </c>
      <c r="H125" s="14">
        <f t="shared" si="9"/>
        <v>1</v>
      </c>
      <c r="I125" s="14">
        <f t="shared" si="10"/>
        <v>0</v>
      </c>
      <c r="J125" s="14">
        <f t="shared" si="11"/>
        <v>0</v>
      </c>
      <c r="K125" s="14" t="s">
        <v>615</v>
      </c>
    </row>
    <row r="126" spans="1:11" ht="16" x14ac:dyDescent="0.2">
      <c r="A126" s="14" t="s">
        <v>239</v>
      </c>
      <c r="B126" s="14">
        <v>29</v>
      </c>
      <c r="C126" s="14" t="s">
        <v>840</v>
      </c>
      <c r="D126" s="14">
        <v>80</v>
      </c>
      <c r="E126" s="15">
        <v>0.18</v>
      </c>
      <c r="F126" s="14"/>
      <c r="G126" s="14">
        <v>4</v>
      </c>
      <c r="H126" s="14">
        <f t="shared" si="9"/>
        <v>0</v>
      </c>
      <c r="I126" s="14">
        <f t="shared" si="10"/>
        <v>0</v>
      </c>
      <c r="J126" s="14">
        <f t="shared" si="11"/>
        <v>0</v>
      </c>
      <c r="K126" s="14" t="s">
        <v>842</v>
      </c>
    </row>
    <row r="127" spans="1:11" ht="16" x14ac:dyDescent="0.2">
      <c r="A127" s="14" t="s">
        <v>506</v>
      </c>
      <c r="B127" s="14">
        <v>21</v>
      </c>
      <c r="C127" s="14" t="s">
        <v>993</v>
      </c>
      <c r="D127" s="14">
        <v>99</v>
      </c>
      <c r="E127" s="15">
        <v>1.1000000000000001</v>
      </c>
      <c r="F127" s="14">
        <v>4.5</v>
      </c>
      <c r="G127" s="14">
        <v>4.5</v>
      </c>
      <c r="H127" s="14">
        <f t="shared" si="9"/>
        <v>1</v>
      </c>
      <c r="I127" s="14">
        <f t="shared" si="10"/>
        <v>0</v>
      </c>
      <c r="J127" s="14">
        <f t="shared" si="11"/>
        <v>0</v>
      </c>
      <c r="K127" s="14" t="s">
        <v>1067</v>
      </c>
    </row>
    <row r="128" spans="1:11" ht="16" x14ac:dyDescent="0.2">
      <c r="A128" s="14" t="s">
        <v>153</v>
      </c>
      <c r="B128" s="14">
        <v>20</v>
      </c>
      <c r="C128" s="14" t="s">
        <v>779</v>
      </c>
      <c r="D128" s="14">
        <v>37</v>
      </c>
      <c r="E128" s="15">
        <v>0.09</v>
      </c>
      <c r="F128" s="14"/>
      <c r="G128" s="14">
        <v>4.3</v>
      </c>
      <c r="H128" s="14">
        <f t="shared" si="9"/>
        <v>0</v>
      </c>
      <c r="I128" s="14">
        <f t="shared" si="10"/>
        <v>0</v>
      </c>
      <c r="J128" s="14">
        <f t="shared" si="11"/>
        <v>0</v>
      </c>
      <c r="K128" s="14" t="s">
        <v>1095</v>
      </c>
    </row>
    <row r="129" spans="1:11" ht="16" x14ac:dyDescent="0.2">
      <c r="A129" s="14" t="s">
        <v>408</v>
      </c>
      <c r="B129" s="14">
        <v>19</v>
      </c>
      <c r="C129" s="14" t="s">
        <v>933</v>
      </c>
      <c r="D129" s="14">
        <v>290</v>
      </c>
      <c r="E129" s="15">
        <v>1.5</v>
      </c>
      <c r="F129" s="14">
        <v>4.97</v>
      </c>
      <c r="G129" s="14">
        <v>3.5</v>
      </c>
      <c r="H129" s="14">
        <f t="shared" si="9"/>
        <v>0</v>
      </c>
      <c r="I129" s="14">
        <f t="shared" si="10"/>
        <v>0</v>
      </c>
      <c r="J129" s="14">
        <f t="shared" si="11"/>
        <v>0</v>
      </c>
      <c r="K129" s="14" t="s">
        <v>935</v>
      </c>
    </row>
    <row r="130" spans="1:11" ht="16" x14ac:dyDescent="0.2">
      <c r="A130" s="14" t="s">
        <v>317</v>
      </c>
      <c r="B130" s="14">
        <v>16</v>
      </c>
      <c r="C130" s="14" t="s">
        <v>812</v>
      </c>
      <c r="D130" s="14">
        <v>130</v>
      </c>
      <c r="E130" s="15">
        <v>1.4</v>
      </c>
      <c r="F130" s="14">
        <v>4.72</v>
      </c>
      <c r="G130" s="14">
        <v>4.8</v>
      </c>
      <c r="H130" s="14">
        <f t="shared" ref="H130:H161" si="12">IF(OR(ISNUMBER(SEARCH("froth",K130)), ISNUMBER(SEARCH("wand",K130)), ISNUMBER(SEARCH("carafe",K130))), 1, 0)</f>
        <v>1</v>
      </c>
      <c r="I130" s="14">
        <f t="shared" ref="I130:I161" si="13">IF(ISNUMBER(SEARCH("grind", K130)), 1, 0)</f>
        <v>0</v>
      </c>
      <c r="J130" s="14">
        <f t="shared" ref="J130:J161" si="14">IF(OR(ISNUMBER(SEARCH("manual", K130)), ISNUMBER(SEARCH("lever", K130)), ISNUMBER(SEARCH("stovetop", K130))), 1, 0)</f>
        <v>0</v>
      </c>
      <c r="K130" s="14" t="s">
        <v>876</v>
      </c>
    </row>
    <row r="131" spans="1:11" ht="16" x14ac:dyDescent="0.2">
      <c r="A131" s="14" t="s">
        <v>335</v>
      </c>
      <c r="B131" s="14">
        <v>16</v>
      </c>
      <c r="C131" s="14" t="s">
        <v>692</v>
      </c>
      <c r="D131" s="14">
        <v>90</v>
      </c>
      <c r="E131" s="15">
        <v>1.5</v>
      </c>
      <c r="F131" s="14">
        <v>5.5</v>
      </c>
      <c r="G131" s="14">
        <v>3.4</v>
      </c>
      <c r="H131" s="14">
        <f t="shared" si="12"/>
        <v>1</v>
      </c>
      <c r="I131" s="14">
        <f t="shared" si="13"/>
        <v>0</v>
      </c>
      <c r="J131" s="14">
        <f t="shared" si="14"/>
        <v>0</v>
      </c>
      <c r="K131" s="14" t="s">
        <v>615</v>
      </c>
    </row>
    <row r="132" spans="1:11" ht="16" x14ac:dyDescent="0.2">
      <c r="A132" s="14" t="s">
        <v>269</v>
      </c>
      <c r="B132" s="14">
        <v>14</v>
      </c>
      <c r="C132" s="14" t="s">
        <v>648</v>
      </c>
      <c r="D132" s="14">
        <v>217</v>
      </c>
      <c r="E132" s="15"/>
      <c r="F132" s="14">
        <v>4.2</v>
      </c>
      <c r="G132" s="14">
        <v>4.7</v>
      </c>
      <c r="H132" s="14">
        <f t="shared" si="12"/>
        <v>0</v>
      </c>
      <c r="I132" s="14">
        <f t="shared" si="13"/>
        <v>0</v>
      </c>
      <c r="J132" s="14">
        <f t="shared" si="14"/>
        <v>0</v>
      </c>
      <c r="K132" s="14" t="s">
        <v>857</v>
      </c>
    </row>
    <row r="133" spans="1:11" ht="16" x14ac:dyDescent="0.2">
      <c r="A133" s="14" t="s">
        <v>414</v>
      </c>
      <c r="B133" s="14">
        <v>14</v>
      </c>
      <c r="C133" s="14" t="s">
        <v>939</v>
      </c>
      <c r="D133" s="14">
        <v>87</v>
      </c>
      <c r="E133" s="15">
        <v>0.76500000000000001</v>
      </c>
      <c r="F133" s="14">
        <v>3.5</v>
      </c>
      <c r="G133" s="14">
        <v>3.1</v>
      </c>
      <c r="H133" s="14">
        <f t="shared" si="12"/>
        <v>0</v>
      </c>
      <c r="I133" s="14">
        <f t="shared" si="13"/>
        <v>0</v>
      </c>
      <c r="J133" s="14">
        <f t="shared" si="14"/>
        <v>0</v>
      </c>
      <c r="K133" s="14" t="s">
        <v>677</v>
      </c>
    </row>
    <row r="134" spans="1:11" ht="16" x14ac:dyDescent="0.2">
      <c r="A134" s="14" t="s">
        <v>403</v>
      </c>
      <c r="B134" s="14">
        <v>14</v>
      </c>
      <c r="C134" s="14" t="s">
        <v>775</v>
      </c>
      <c r="D134" s="14">
        <v>75</v>
      </c>
      <c r="E134" s="15">
        <v>0.08</v>
      </c>
      <c r="F134" s="14"/>
      <c r="G134" s="14">
        <v>4.0999999999999996</v>
      </c>
      <c r="H134" s="14">
        <f t="shared" si="12"/>
        <v>0</v>
      </c>
      <c r="I134" s="14">
        <f t="shared" si="13"/>
        <v>0</v>
      </c>
      <c r="J134" s="14">
        <f t="shared" si="14"/>
        <v>0</v>
      </c>
      <c r="K134" s="14" t="s">
        <v>660</v>
      </c>
    </row>
    <row r="135" spans="1:11" ht="16" x14ac:dyDescent="0.2">
      <c r="A135" s="14" t="s">
        <v>163</v>
      </c>
      <c r="B135" s="14">
        <v>14</v>
      </c>
      <c r="C135" s="14" t="s">
        <v>788</v>
      </c>
      <c r="D135" s="14">
        <v>40</v>
      </c>
      <c r="E135" s="15">
        <v>0.08</v>
      </c>
      <c r="F135" s="14">
        <v>0.52</v>
      </c>
      <c r="G135" s="14">
        <v>4</v>
      </c>
      <c r="H135" s="14">
        <f t="shared" si="12"/>
        <v>0</v>
      </c>
      <c r="I135" s="14">
        <f t="shared" si="13"/>
        <v>0</v>
      </c>
      <c r="J135" s="14">
        <f t="shared" si="14"/>
        <v>0</v>
      </c>
      <c r="K135" s="14" t="s">
        <v>660</v>
      </c>
    </row>
    <row r="136" spans="1:11" ht="16" x14ac:dyDescent="0.2">
      <c r="A136" s="14" t="s">
        <v>161</v>
      </c>
      <c r="B136" s="14">
        <v>14</v>
      </c>
      <c r="C136" s="14" t="s">
        <v>788</v>
      </c>
      <c r="D136" s="14">
        <v>40</v>
      </c>
      <c r="E136" s="15">
        <v>0.08</v>
      </c>
      <c r="F136" s="14">
        <v>0.52</v>
      </c>
      <c r="G136" s="14">
        <v>4.0999999999999996</v>
      </c>
      <c r="H136" s="14">
        <f t="shared" si="12"/>
        <v>0</v>
      </c>
      <c r="I136" s="14">
        <f t="shared" si="13"/>
        <v>0</v>
      </c>
      <c r="J136" s="14">
        <f t="shared" si="14"/>
        <v>0</v>
      </c>
      <c r="K136" s="14" t="s">
        <v>660</v>
      </c>
    </row>
    <row r="137" spans="1:11" ht="16" x14ac:dyDescent="0.2">
      <c r="A137" s="14" t="s">
        <v>303</v>
      </c>
      <c r="B137" s="14">
        <v>13</v>
      </c>
      <c r="C137" s="14" t="s">
        <v>680</v>
      </c>
      <c r="D137" s="14">
        <v>549</v>
      </c>
      <c r="E137" s="15">
        <v>2.8</v>
      </c>
      <c r="F137" s="14"/>
      <c r="G137" s="14">
        <v>4.5999999999999996</v>
      </c>
      <c r="H137" s="14">
        <f t="shared" si="12"/>
        <v>0</v>
      </c>
      <c r="I137" s="14">
        <f t="shared" si="13"/>
        <v>1</v>
      </c>
      <c r="J137" s="14">
        <f t="shared" si="14"/>
        <v>0</v>
      </c>
      <c r="K137" s="14" t="s">
        <v>1044</v>
      </c>
    </row>
    <row r="138" spans="1:11" ht="16" x14ac:dyDescent="0.2">
      <c r="A138" s="14" t="s">
        <v>554</v>
      </c>
      <c r="B138" s="14">
        <v>13</v>
      </c>
      <c r="C138" s="14" t="s">
        <v>740</v>
      </c>
      <c r="D138" s="14">
        <v>140</v>
      </c>
      <c r="E138" s="15">
        <v>1</v>
      </c>
      <c r="F138" s="14">
        <v>3.85</v>
      </c>
      <c r="G138" s="14">
        <v>4.3</v>
      </c>
      <c r="H138" s="14">
        <f t="shared" si="12"/>
        <v>0</v>
      </c>
      <c r="I138" s="14">
        <f t="shared" si="13"/>
        <v>0</v>
      </c>
      <c r="J138" s="14">
        <f t="shared" si="14"/>
        <v>0</v>
      </c>
      <c r="K138" s="14" t="s">
        <v>1023</v>
      </c>
    </row>
    <row r="139" spans="1:11" ht="16" x14ac:dyDescent="0.2">
      <c r="A139" s="14" t="s">
        <v>159</v>
      </c>
      <c r="B139" s="14">
        <v>12</v>
      </c>
      <c r="C139" s="14" t="s">
        <v>786</v>
      </c>
      <c r="D139" s="14">
        <v>37</v>
      </c>
      <c r="E139" s="15">
        <v>0.08</v>
      </c>
      <c r="F139" s="14"/>
      <c r="G139" s="14">
        <v>4.4000000000000004</v>
      </c>
      <c r="H139" s="14">
        <f t="shared" si="12"/>
        <v>0</v>
      </c>
      <c r="I139" s="14">
        <f t="shared" si="13"/>
        <v>0</v>
      </c>
      <c r="J139" s="14">
        <f t="shared" si="14"/>
        <v>0</v>
      </c>
      <c r="K139" s="14" t="s">
        <v>787</v>
      </c>
    </row>
    <row r="140" spans="1:11" ht="16" x14ac:dyDescent="0.2">
      <c r="A140" s="14" t="s">
        <v>522</v>
      </c>
      <c r="B140" s="14">
        <v>10</v>
      </c>
      <c r="C140" s="14" t="s">
        <v>999</v>
      </c>
      <c r="D140" s="14">
        <v>89</v>
      </c>
      <c r="E140" s="15">
        <v>1.35</v>
      </c>
      <c r="F140" s="14">
        <v>3.25</v>
      </c>
      <c r="G140" s="14">
        <v>3.4</v>
      </c>
      <c r="H140" s="14">
        <f t="shared" si="12"/>
        <v>1</v>
      </c>
      <c r="I140" s="14">
        <f t="shared" si="13"/>
        <v>0</v>
      </c>
      <c r="J140" s="14">
        <f t="shared" si="14"/>
        <v>0</v>
      </c>
      <c r="K140" s="14" t="s">
        <v>615</v>
      </c>
    </row>
    <row r="141" spans="1:11" ht="16" x14ac:dyDescent="0.2">
      <c r="A141" s="14" t="s">
        <v>480</v>
      </c>
      <c r="B141" s="14">
        <v>10</v>
      </c>
      <c r="C141" s="14" t="s">
        <v>973</v>
      </c>
      <c r="D141" s="14">
        <v>43</v>
      </c>
      <c r="E141" s="15">
        <v>0.08</v>
      </c>
      <c r="F141" s="14"/>
      <c r="G141" s="14">
        <v>5</v>
      </c>
      <c r="H141" s="14">
        <f t="shared" si="12"/>
        <v>0</v>
      </c>
      <c r="I141" s="14">
        <f t="shared" si="13"/>
        <v>0</v>
      </c>
      <c r="J141" s="14">
        <f t="shared" si="14"/>
        <v>0</v>
      </c>
      <c r="K141" s="14" t="s">
        <v>953</v>
      </c>
    </row>
    <row r="142" spans="1:11" ht="16" x14ac:dyDescent="0.2">
      <c r="A142" s="14" t="s">
        <v>247</v>
      </c>
      <c r="B142" s="14">
        <v>9</v>
      </c>
      <c r="C142" s="14" t="s">
        <v>631</v>
      </c>
      <c r="D142" s="14">
        <v>380</v>
      </c>
      <c r="E142" s="15">
        <v>2.6</v>
      </c>
      <c r="F142" s="14"/>
      <c r="G142" s="14">
        <v>4.8</v>
      </c>
      <c r="H142" s="14">
        <f t="shared" si="12"/>
        <v>1</v>
      </c>
      <c r="I142" s="14">
        <f t="shared" si="13"/>
        <v>1</v>
      </c>
      <c r="J142" s="14">
        <f t="shared" si="14"/>
        <v>1</v>
      </c>
      <c r="K142" s="14" t="s">
        <v>846</v>
      </c>
    </row>
    <row r="143" spans="1:11" ht="16" x14ac:dyDescent="0.2">
      <c r="A143" s="14" t="s">
        <v>275</v>
      </c>
      <c r="B143" s="14">
        <v>9</v>
      </c>
      <c r="C143" s="14" t="s">
        <v>648</v>
      </c>
      <c r="D143" s="14">
        <v>210</v>
      </c>
      <c r="E143" s="15">
        <v>1</v>
      </c>
      <c r="F143" s="14"/>
      <c r="G143" s="14">
        <v>4.5</v>
      </c>
      <c r="H143" s="14">
        <f t="shared" si="12"/>
        <v>1</v>
      </c>
      <c r="I143" s="14">
        <f t="shared" si="13"/>
        <v>0</v>
      </c>
      <c r="J143" s="14">
        <f t="shared" si="14"/>
        <v>0</v>
      </c>
      <c r="K143" s="14" t="s">
        <v>615</v>
      </c>
    </row>
    <row r="144" spans="1:11" ht="16" x14ac:dyDescent="0.2">
      <c r="A144" s="14" t="s">
        <v>351</v>
      </c>
      <c r="B144" s="14">
        <v>9</v>
      </c>
      <c r="C144" s="14" t="s">
        <v>896</v>
      </c>
      <c r="D144" s="14">
        <v>190</v>
      </c>
      <c r="E144" s="15">
        <v>1.7</v>
      </c>
      <c r="F144" s="14">
        <v>4.2</v>
      </c>
      <c r="G144" s="14">
        <v>3.3</v>
      </c>
      <c r="H144" s="14">
        <f t="shared" si="12"/>
        <v>0</v>
      </c>
      <c r="I144" s="14">
        <f t="shared" si="13"/>
        <v>0</v>
      </c>
      <c r="J144" s="14">
        <f t="shared" si="14"/>
        <v>0</v>
      </c>
      <c r="K144" s="14" t="s">
        <v>679</v>
      </c>
    </row>
    <row r="145" spans="1:11" ht="16" x14ac:dyDescent="0.2">
      <c r="A145" s="14" t="s">
        <v>347</v>
      </c>
      <c r="B145" s="14">
        <v>9</v>
      </c>
      <c r="C145" s="14" t="s">
        <v>896</v>
      </c>
      <c r="D145" s="14">
        <v>160</v>
      </c>
      <c r="E145" s="15">
        <v>1.2</v>
      </c>
      <c r="F145" s="14"/>
      <c r="G145" s="14">
        <v>4.7</v>
      </c>
      <c r="H145" s="14">
        <f t="shared" si="12"/>
        <v>0</v>
      </c>
      <c r="I145" s="14">
        <f t="shared" si="13"/>
        <v>0</v>
      </c>
      <c r="J145" s="14">
        <f t="shared" si="14"/>
        <v>0</v>
      </c>
      <c r="K145" s="14" t="s">
        <v>679</v>
      </c>
    </row>
    <row r="146" spans="1:11" ht="16" x14ac:dyDescent="0.2">
      <c r="A146" s="14" t="s">
        <v>257</v>
      </c>
      <c r="B146" s="14">
        <v>9</v>
      </c>
      <c r="C146" s="14" t="s">
        <v>852</v>
      </c>
      <c r="D146" s="14">
        <v>100</v>
      </c>
      <c r="E146" s="15">
        <v>0.8</v>
      </c>
      <c r="F146" s="14">
        <v>3.9</v>
      </c>
      <c r="G146" s="14">
        <v>3.9</v>
      </c>
      <c r="H146" s="14">
        <f t="shared" si="12"/>
        <v>0</v>
      </c>
      <c r="I146" s="14">
        <f t="shared" si="13"/>
        <v>0</v>
      </c>
      <c r="J146" s="14">
        <f t="shared" si="14"/>
        <v>0</v>
      </c>
      <c r="K146" s="14" t="s">
        <v>1047</v>
      </c>
    </row>
    <row r="147" spans="1:11" ht="16" x14ac:dyDescent="0.2">
      <c r="A147" s="14" t="s">
        <v>169</v>
      </c>
      <c r="B147" s="14">
        <v>9</v>
      </c>
      <c r="C147" s="14" t="s">
        <v>794</v>
      </c>
      <c r="D147" s="14">
        <v>60</v>
      </c>
      <c r="E147" s="15">
        <v>0.6</v>
      </c>
      <c r="F147" s="14"/>
      <c r="G147" s="14">
        <v>4.4000000000000004</v>
      </c>
      <c r="H147" s="14">
        <f t="shared" si="12"/>
        <v>0</v>
      </c>
      <c r="I147" s="14">
        <f t="shared" si="13"/>
        <v>0</v>
      </c>
      <c r="J147" s="14">
        <f t="shared" si="14"/>
        <v>0</v>
      </c>
      <c r="K147" s="14" t="s">
        <v>1096</v>
      </c>
    </row>
    <row r="148" spans="1:11" ht="16" x14ac:dyDescent="0.2">
      <c r="A148" s="14" t="s">
        <v>548</v>
      </c>
      <c r="B148" s="14">
        <v>8</v>
      </c>
      <c r="C148" s="14" t="s">
        <v>1017</v>
      </c>
      <c r="D148" s="14">
        <v>270</v>
      </c>
      <c r="E148" s="15">
        <v>2.8</v>
      </c>
      <c r="F148" s="14">
        <v>12</v>
      </c>
      <c r="G148" s="14">
        <v>4.5</v>
      </c>
      <c r="H148" s="14">
        <f t="shared" si="12"/>
        <v>0</v>
      </c>
      <c r="I148" s="14">
        <f t="shared" si="13"/>
        <v>1</v>
      </c>
      <c r="J148" s="14">
        <f t="shared" si="14"/>
        <v>0</v>
      </c>
      <c r="K148" s="14" t="s">
        <v>1019</v>
      </c>
    </row>
    <row r="149" spans="1:11" ht="16" x14ac:dyDescent="0.2">
      <c r="A149" s="14" t="s">
        <v>412</v>
      </c>
      <c r="B149" s="14">
        <v>8</v>
      </c>
      <c r="C149" s="14" t="s">
        <v>782</v>
      </c>
      <c r="D149" s="14">
        <v>93</v>
      </c>
      <c r="E149" s="15">
        <v>0.08</v>
      </c>
      <c r="F149" s="14">
        <v>3.87</v>
      </c>
      <c r="G149" s="14">
        <v>1.6</v>
      </c>
      <c r="H149" s="14">
        <f t="shared" si="12"/>
        <v>0</v>
      </c>
      <c r="I149" s="14">
        <f t="shared" si="13"/>
        <v>0</v>
      </c>
      <c r="J149" s="14">
        <f t="shared" si="14"/>
        <v>0</v>
      </c>
      <c r="K149" s="14" t="s">
        <v>938</v>
      </c>
    </row>
    <row r="150" spans="1:11" ht="16" x14ac:dyDescent="0.2">
      <c r="A150" s="14" t="s">
        <v>552</v>
      </c>
      <c r="B150" s="14">
        <v>8</v>
      </c>
      <c r="C150" s="14" t="s">
        <v>1020</v>
      </c>
      <c r="D150" s="14">
        <v>85</v>
      </c>
      <c r="E150" s="15">
        <v>1.5</v>
      </c>
      <c r="F150" s="14">
        <v>3.8</v>
      </c>
      <c r="G150" s="14">
        <v>4.2</v>
      </c>
      <c r="H150" s="14">
        <f t="shared" si="12"/>
        <v>1</v>
      </c>
      <c r="I150" s="14">
        <f t="shared" si="13"/>
        <v>0</v>
      </c>
      <c r="J150" s="14">
        <f t="shared" si="14"/>
        <v>0</v>
      </c>
      <c r="K150" s="14" t="s">
        <v>615</v>
      </c>
    </row>
    <row r="151" spans="1:11" ht="16" x14ac:dyDescent="0.2">
      <c r="A151" s="14" t="s">
        <v>193</v>
      </c>
      <c r="B151" s="14">
        <v>7</v>
      </c>
      <c r="C151" s="14" t="s">
        <v>817</v>
      </c>
      <c r="D151" s="14">
        <v>40</v>
      </c>
      <c r="E151" s="15">
        <v>0.23657440264963328</v>
      </c>
      <c r="F151" s="14"/>
      <c r="G151" s="14">
        <v>4.2</v>
      </c>
      <c r="H151" s="14">
        <f t="shared" si="12"/>
        <v>0</v>
      </c>
      <c r="I151" s="14">
        <f t="shared" si="13"/>
        <v>0</v>
      </c>
      <c r="J151" s="14">
        <f t="shared" si="14"/>
        <v>0</v>
      </c>
      <c r="K151" s="14" t="s">
        <v>819</v>
      </c>
    </row>
    <row r="152" spans="1:11" ht="16" x14ac:dyDescent="0.2">
      <c r="A152" s="14" t="s">
        <v>373</v>
      </c>
      <c r="B152" s="14">
        <v>6</v>
      </c>
      <c r="C152" s="14" t="s">
        <v>746</v>
      </c>
      <c r="D152" s="14">
        <v>332</v>
      </c>
      <c r="E152" s="15">
        <v>1.4</v>
      </c>
      <c r="F152" s="14"/>
      <c r="G152" s="14">
        <v>4.5999999999999996</v>
      </c>
      <c r="H152" s="14">
        <f t="shared" si="12"/>
        <v>0</v>
      </c>
      <c r="I152" s="14">
        <f t="shared" si="13"/>
        <v>0</v>
      </c>
      <c r="J152" s="14">
        <f t="shared" si="14"/>
        <v>0</v>
      </c>
      <c r="K152" s="14" t="s">
        <v>913</v>
      </c>
    </row>
    <row r="153" spans="1:11" ht="16" x14ac:dyDescent="0.2">
      <c r="A153" s="14" t="s">
        <v>349</v>
      </c>
      <c r="B153" s="14">
        <v>6</v>
      </c>
      <c r="C153" s="14" t="s">
        <v>896</v>
      </c>
      <c r="D153" s="14">
        <v>190</v>
      </c>
      <c r="E153" s="15">
        <v>1.2</v>
      </c>
      <c r="F153" s="14">
        <v>4.2</v>
      </c>
      <c r="G153" s="14">
        <v>3.2</v>
      </c>
      <c r="H153" s="14">
        <f t="shared" si="12"/>
        <v>0</v>
      </c>
      <c r="I153" s="14">
        <f t="shared" si="13"/>
        <v>0</v>
      </c>
      <c r="J153" s="14">
        <f t="shared" si="14"/>
        <v>0</v>
      </c>
      <c r="K153" s="14" t="s">
        <v>679</v>
      </c>
    </row>
    <row r="154" spans="1:11" ht="16" x14ac:dyDescent="0.2">
      <c r="A154" s="14" t="s">
        <v>119</v>
      </c>
      <c r="B154" s="14">
        <v>5</v>
      </c>
      <c r="C154" s="14" t="s">
        <v>759</v>
      </c>
      <c r="D154" s="14">
        <v>329</v>
      </c>
      <c r="E154" s="15">
        <v>1.2</v>
      </c>
      <c r="F154" s="14">
        <v>5</v>
      </c>
      <c r="G154" s="14">
        <v>3.8</v>
      </c>
      <c r="H154" s="14">
        <f t="shared" si="12"/>
        <v>0</v>
      </c>
      <c r="I154" s="14">
        <f t="shared" si="13"/>
        <v>0</v>
      </c>
      <c r="J154" s="14">
        <f t="shared" si="14"/>
        <v>0</v>
      </c>
      <c r="K154" s="14" t="s">
        <v>1061</v>
      </c>
    </row>
    <row r="155" spans="1:11" ht="16" x14ac:dyDescent="0.2">
      <c r="A155" s="14" t="s">
        <v>496</v>
      </c>
      <c r="B155" s="14">
        <v>5</v>
      </c>
      <c r="C155" s="14" t="s">
        <v>991</v>
      </c>
      <c r="D155" s="14">
        <v>250</v>
      </c>
      <c r="E155" s="15"/>
      <c r="F155" s="14"/>
      <c r="G155" s="14">
        <v>3.8</v>
      </c>
      <c r="H155" s="14">
        <f t="shared" si="12"/>
        <v>1</v>
      </c>
      <c r="I155" s="14">
        <f t="shared" si="13"/>
        <v>0</v>
      </c>
      <c r="J155" s="14">
        <f t="shared" si="14"/>
        <v>0</v>
      </c>
      <c r="K155" s="14" t="s">
        <v>992</v>
      </c>
    </row>
    <row r="156" spans="1:11" ht="16" x14ac:dyDescent="0.2">
      <c r="A156" s="14" t="s">
        <v>337</v>
      </c>
      <c r="B156" s="14">
        <v>5</v>
      </c>
      <c r="C156" s="14" t="s">
        <v>692</v>
      </c>
      <c r="D156" s="14">
        <v>100</v>
      </c>
      <c r="E156" s="15">
        <v>1.8</v>
      </c>
      <c r="F156" s="14">
        <v>4</v>
      </c>
      <c r="G156" s="14">
        <v>3.7</v>
      </c>
      <c r="H156" s="14">
        <f t="shared" si="12"/>
        <v>1</v>
      </c>
      <c r="I156" s="14">
        <f t="shared" si="13"/>
        <v>0</v>
      </c>
      <c r="J156" s="14">
        <f t="shared" si="14"/>
        <v>0</v>
      </c>
      <c r="K156" s="14" t="s">
        <v>615</v>
      </c>
    </row>
    <row r="157" spans="1:11" ht="16" x14ac:dyDescent="0.2">
      <c r="A157" s="14" t="s">
        <v>416</v>
      </c>
      <c r="B157" s="14">
        <v>5</v>
      </c>
      <c r="C157" s="14" t="s">
        <v>941</v>
      </c>
      <c r="D157" s="14">
        <v>94</v>
      </c>
      <c r="E157" s="15">
        <v>0.8</v>
      </c>
      <c r="F157" s="14">
        <v>3.96</v>
      </c>
      <c r="G157" s="14">
        <v>1.5</v>
      </c>
      <c r="H157" s="14">
        <f t="shared" si="12"/>
        <v>0</v>
      </c>
      <c r="I157" s="14">
        <f t="shared" si="13"/>
        <v>0</v>
      </c>
      <c r="J157" s="14">
        <f t="shared" si="14"/>
        <v>0</v>
      </c>
      <c r="K157" s="14" t="s">
        <v>944</v>
      </c>
    </row>
    <row r="158" spans="1:11" ht="16" x14ac:dyDescent="0.2">
      <c r="A158" s="14" t="s">
        <v>249</v>
      </c>
      <c r="B158" s="14">
        <v>5</v>
      </c>
      <c r="C158" s="14" t="s">
        <v>847</v>
      </c>
      <c r="D158" s="14">
        <v>90</v>
      </c>
      <c r="E158" s="15">
        <v>1.8</v>
      </c>
      <c r="F158" s="14">
        <v>3</v>
      </c>
      <c r="G158" s="14">
        <v>3.5</v>
      </c>
      <c r="H158" s="14">
        <f t="shared" si="12"/>
        <v>1</v>
      </c>
      <c r="I158" s="14">
        <f t="shared" si="13"/>
        <v>0</v>
      </c>
      <c r="J158" s="14">
        <f t="shared" si="14"/>
        <v>0</v>
      </c>
      <c r="K158" s="14" t="s">
        <v>615</v>
      </c>
    </row>
    <row r="159" spans="1:11" ht="16" x14ac:dyDescent="0.2">
      <c r="A159" s="14" t="s">
        <v>530</v>
      </c>
      <c r="B159" s="14">
        <v>4</v>
      </c>
      <c r="C159" s="14" t="s">
        <v>629</v>
      </c>
      <c r="D159" s="14">
        <v>399</v>
      </c>
      <c r="E159" s="15">
        <v>1.7</v>
      </c>
      <c r="F159" s="14">
        <v>6</v>
      </c>
      <c r="G159" s="14">
        <v>4.2</v>
      </c>
      <c r="H159" s="14">
        <f t="shared" si="12"/>
        <v>1</v>
      </c>
      <c r="I159" s="14">
        <f t="shared" si="13"/>
        <v>0</v>
      </c>
      <c r="J159" s="14">
        <f t="shared" si="14"/>
        <v>0</v>
      </c>
      <c r="K159" s="14" t="s">
        <v>638</v>
      </c>
    </row>
    <row r="160" spans="1:11" ht="16" x14ac:dyDescent="0.2">
      <c r="A160" s="14" t="s">
        <v>492</v>
      </c>
      <c r="B160" s="14">
        <v>4</v>
      </c>
      <c r="C160" s="14" t="s">
        <v>986</v>
      </c>
      <c r="D160" s="14">
        <v>300</v>
      </c>
      <c r="E160" s="15">
        <v>2.5</v>
      </c>
      <c r="F160" s="14"/>
      <c r="G160" s="14">
        <v>5</v>
      </c>
      <c r="H160" s="14">
        <f t="shared" si="12"/>
        <v>1</v>
      </c>
      <c r="I160" s="14">
        <f t="shared" si="13"/>
        <v>1</v>
      </c>
      <c r="J160" s="14">
        <f t="shared" si="14"/>
        <v>0</v>
      </c>
      <c r="K160" s="14" t="s">
        <v>1045</v>
      </c>
    </row>
    <row r="161" spans="1:11" ht="16" x14ac:dyDescent="0.2">
      <c r="A161" s="14" t="s">
        <v>391</v>
      </c>
      <c r="B161" s="14">
        <v>3</v>
      </c>
      <c r="C161" s="14" t="s">
        <v>921</v>
      </c>
      <c r="D161" s="14">
        <v>956</v>
      </c>
      <c r="E161" s="15">
        <v>1.6</v>
      </c>
      <c r="F161" s="14">
        <v>5.5</v>
      </c>
      <c r="G161" s="14">
        <v>2</v>
      </c>
      <c r="H161" s="14">
        <f t="shared" si="12"/>
        <v>0</v>
      </c>
      <c r="I161" s="14">
        <f t="shared" si="13"/>
        <v>0</v>
      </c>
      <c r="J161" s="14">
        <f t="shared" si="14"/>
        <v>1</v>
      </c>
      <c r="K161" s="14" t="s">
        <v>644</v>
      </c>
    </row>
    <row r="162" spans="1:11" ht="16" x14ac:dyDescent="0.2">
      <c r="A162" s="14" t="s">
        <v>313</v>
      </c>
      <c r="B162" s="14">
        <v>3</v>
      </c>
      <c r="C162" s="14" t="s">
        <v>872</v>
      </c>
      <c r="D162" s="14">
        <v>70</v>
      </c>
      <c r="E162" s="15">
        <v>1.5</v>
      </c>
      <c r="F162" s="14"/>
      <c r="G162" s="14">
        <v>5</v>
      </c>
      <c r="H162" s="14">
        <f t="shared" ref="H162:H184" si="15">IF(OR(ISNUMBER(SEARCH("froth",K162)), ISNUMBER(SEARCH("wand",K162)), ISNUMBER(SEARCH("carafe",K162))), 1, 0)</f>
        <v>1</v>
      </c>
      <c r="I162" s="14">
        <f t="shared" ref="I162:I184" si="16">IF(ISNUMBER(SEARCH("grind", K162)), 1, 0)</f>
        <v>0</v>
      </c>
      <c r="J162" s="14">
        <f t="shared" ref="J162:J193" si="17">IF(OR(ISNUMBER(SEARCH("manual", K162)), ISNUMBER(SEARCH("lever", K162)), ISNUMBER(SEARCH("stovetop", K162))), 1, 0)</f>
        <v>0</v>
      </c>
      <c r="K162" s="14" t="s">
        <v>615</v>
      </c>
    </row>
    <row r="163" spans="1:11" ht="16" x14ac:dyDescent="0.2">
      <c r="A163" s="14" t="s">
        <v>195</v>
      </c>
      <c r="B163" s="14">
        <v>3</v>
      </c>
      <c r="C163" s="14" t="s">
        <v>645</v>
      </c>
      <c r="D163" s="14">
        <v>46</v>
      </c>
      <c r="E163" s="15">
        <v>0.23</v>
      </c>
      <c r="F163" s="14">
        <v>0.85</v>
      </c>
      <c r="G163" s="14">
        <v>5</v>
      </c>
      <c r="H163" s="14">
        <f t="shared" si="15"/>
        <v>0</v>
      </c>
      <c r="I163" s="14">
        <f t="shared" si="16"/>
        <v>0</v>
      </c>
      <c r="J163" s="14">
        <f t="shared" si="17"/>
        <v>0</v>
      </c>
      <c r="K163" s="14" t="s">
        <v>1059</v>
      </c>
    </row>
    <row r="164" spans="1:11" ht="16" x14ac:dyDescent="0.2">
      <c r="A164" s="14" t="s">
        <v>484</v>
      </c>
      <c r="B164" s="14">
        <v>3</v>
      </c>
      <c r="C164" s="14" t="s">
        <v>976</v>
      </c>
      <c r="D164" s="14">
        <v>37</v>
      </c>
      <c r="E164" s="15"/>
      <c r="F164" s="14">
        <v>0.8</v>
      </c>
      <c r="G164" s="14">
        <v>5</v>
      </c>
      <c r="H164" s="14">
        <f t="shared" si="15"/>
        <v>0</v>
      </c>
      <c r="I164" s="14">
        <f t="shared" si="16"/>
        <v>0</v>
      </c>
      <c r="J164" s="14">
        <f t="shared" si="17"/>
        <v>0</v>
      </c>
      <c r="K164" s="14" t="s">
        <v>774</v>
      </c>
    </row>
    <row r="165" spans="1:11" ht="16" x14ac:dyDescent="0.2">
      <c r="A165" s="14" t="s">
        <v>279</v>
      </c>
      <c r="B165" s="14">
        <v>2</v>
      </c>
      <c r="C165" s="14" t="s">
        <v>648</v>
      </c>
      <c r="D165" s="14">
        <v>417</v>
      </c>
      <c r="E165" s="15">
        <v>1.8</v>
      </c>
      <c r="F165" s="14">
        <v>9.4</v>
      </c>
      <c r="G165" s="14">
        <v>5</v>
      </c>
      <c r="H165" s="14">
        <f t="shared" si="15"/>
        <v>1</v>
      </c>
      <c r="I165" s="14">
        <f t="shared" si="16"/>
        <v>0</v>
      </c>
      <c r="J165" s="14">
        <f t="shared" si="17"/>
        <v>0</v>
      </c>
      <c r="K165" s="14" t="s">
        <v>615</v>
      </c>
    </row>
    <row r="166" spans="1:11" ht="16" x14ac:dyDescent="0.2">
      <c r="A166" s="14" t="s">
        <v>397</v>
      </c>
      <c r="B166" s="14">
        <v>2</v>
      </c>
      <c r="C166" s="14" t="s">
        <v>672</v>
      </c>
      <c r="D166" s="14">
        <v>273</v>
      </c>
      <c r="E166" s="15">
        <v>1.5</v>
      </c>
      <c r="F166" s="14">
        <v>7.95</v>
      </c>
      <c r="G166" s="14">
        <v>2.2999999999999998</v>
      </c>
      <c r="H166" s="14">
        <f t="shared" si="15"/>
        <v>0</v>
      </c>
      <c r="I166" s="14">
        <f t="shared" si="16"/>
        <v>0</v>
      </c>
      <c r="J166" s="14">
        <f t="shared" si="17"/>
        <v>0</v>
      </c>
      <c r="K166" s="14" t="s">
        <v>700</v>
      </c>
    </row>
    <row r="167" spans="1:11" ht="16" x14ac:dyDescent="0.2">
      <c r="A167" s="14" t="s">
        <v>17</v>
      </c>
      <c r="B167" s="14">
        <v>2</v>
      </c>
      <c r="C167" s="14" t="s">
        <v>651</v>
      </c>
      <c r="D167" s="14">
        <v>269</v>
      </c>
      <c r="E167" s="15">
        <v>1.1000000000000001</v>
      </c>
      <c r="F167" s="14"/>
      <c r="G167" s="14">
        <v>5</v>
      </c>
      <c r="H167" s="14">
        <f t="shared" si="15"/>
        <v>1</v>
      </c>
      <c r="I167" s="14">
        <f t="shared" si="16"/>
        <v>0</v>
      </c>
      <c r="J167" s="14">
        <f t="shared" si="17"/>
        <v>0</v>
      </c>
      <c r="K167" s="14" t="s">
        <v>655</v>
      </c>
    </row>
    <row r="168" spans="1:11" ht="16" x14ac:dyDescent="0.2">
      <c r="A168" s="14" t="s">
        <v>171</v>
      </c>
      <c r="B168" s="14">
        <v>2</v>
      </c>
      <c r="C168" s="14" t="s">
        <v>796</v>
      </c>
      <c r="D168" s="14">
        <v>85</v>
      </c>
      <c r="E168" s="15">
        <v>1.656020818547433</v>
      </c>
      <c r="F168" s="14"/>
      <c r="G168" s="14">
        <v>4.5</v>
      </c>
      <c r="H168" s="14">
        <f t="shared" si="15"/>
        <v>0</v>
      </c>
      <c r="I168" s="14">
        <f t="shared" si="16"/>
        <v>0</v>
      </c>
      <c r="J168" s="14">
        <f t="shared" si="17"/>
        <v>0</v>
      </c>
      <c r="K168" s="14" t="s">
        <v>647</v>
      </c>
    </row>
    <row r="169" spans="1:11" ht="16" x14ac:dyDescent="0.2">
      <c r="A169" s="14" t="s">
        <v>440</v>
      </c>
      <c r="B169" s="14">
        <v>2</v>
      </c>
      <c r="C169" s="14" t="s">
        <v>954</v>
      </c>
      <c r="D169" s="14">
        <v>60</v>
      </c>
      <c r="E169" s="15">
        <v>0.06</v>
      </c>
      <c r="F169" s="14"/>
      <c r="G169" s="14">
        <v>5</v>
      </c>
      <c r="H169" s="14">
        <f t="shared" si="15"/>
        <v>0</v>
      </c>
      <c r="I169" s="14">
        <f t="shared" si="16"/>
        <v>0</v>
      </c>
      <c r="J169" s="14">
        <f t="shared" si="17"/>
        <v>0</v>
      </c>
      <c r="K169" s="14" t="s">
        <v>955</v>
      </c>
    </row>
    <row r="170" spans="1:11" ht="16" x14ac:dyDescent="0.2">
      <c r="A170" s="14" t="s">
        <v>438</v>
      </c>
      <c r="B170" s="14">
        <v>2</v>
      </c>
      <c r="C170" s="14" t="s">
        <v>952</v>
      </c>
      <c r="D170" s="14">
        <v>53</v>
      </c>
      <c r="E170" s="15">
        <v>0.08</v>
      </c>
      <c r="F170" s="14"/>
      <c r="G170" s="14">
        <v>5</v>
      </c>
      <c r="H170" s="14">
        <f t="shared" si="15"/>
        <v>0</v>
      </c>
      <c r="I170" s="14">
        <f t="shared" si="16"/>
        <v>0</v>
      </c>
      <c r="J170" s="14">
        <f t="shared" si="17"/>
        <v>0</v>
      </c>
      <c r="K170" s="14" t="s">
        <v>953</v>
      </c>
    </row>
    <row r="171" spans="1:11" ht="16" x14ac:dyDescent="0.2">
      <c r="A171" s="14" t="s">
        <v>532</v>
      </c>
      <c r="B171" s="14">
        <v>1</v>
      </c>
      <c r="C171" s="14" t="s">
        <v>629</v>
      </c>
      <c r="D171" s="14">
        <v>1309</v>
      </c>
      <c r="E171" s="15">
        <v>1.633186532177866</v>
      </c>
      <c r="F171" s="14">
        <v>12.7</v>
      </c>
      <c r="G171" s="14">
        <v>1</v>
      </c>
      <c r="H171" s="14">
        <f t="shared" si="15"/>
        <v>1</v>
      </c>
      <c r="I171" s="14">
        <f t="shared" si="16"/>
        <v>0</v>
      </c>
      <c r="J171" s="14">
        <f t="shared" si="17"/>
        <v>0</v>
      </c>
      <c r="K171" s="14" t="s">
        <v>1011</v>
      </c>
    </row>
    <row r="172" spans="1:11" ht="16" x14ac:dyDescent="0.2">
      <c r="A172" s="14" t="s">
        <v>155</v>
      </c>
      <c r="B172" s="14">
        <v>1</v>
      </c>
      <c r="C172" s="14" t="s">
        <v>782</v>
      </c>
      <c r="D172" s="14">
        <v>190</v>
      </c>
      <c r="E172" s="15">
        <v>0.8</v>
      </c>
      <c r="F172" s="14"/>
      <c r="G172" s="14">
        <v>5</v>
      </c>
      <c r="H172" s="14">
        <f t="shared" si="15"/>
        <v>1</v>
      </c>
      <c r="I172" s="14">
        <f t="shared" si="16"/>
        <v>1</v>
      </c>
      <c r="J172" s="14">
        <f t="shared" si="17"/>
        <v>0</v>
      </c>
      <c r="K172" s="14" t="s">
        <v>784</v>
      </c>
    </row>
    <row r="173" spans="1:11" ht="16" x14ac:dyDescent="0.2">
      <c r="A173" s="14" t="s">
        <v>474</v>
      </c>
      <c r="B173" s="14">
        <v>1</v>
      </c>
      <c r="C173" s="14" t="s">
        <v>965</v>
      </c>
      <c r="D173" s="14">
        <v>100</v>
      </c>
      <c r="E173" s="15">
        <v>1.3</v>
      </c>
      <c r="F173" s="14">
        <v>3.25</v>
      </c>
      <c r="G173" s="14">
        <v>5</v>
      </c>
      <c r="H173" s="14">
        <f t="shared" si="15"/>
        <v>1</v>
      </c>
      <c r="I173" s="14">
        <f t="shared" si="16"/>
        <v>0</v>
      </c>
      <c r="J173" s="14">
        <f t="shared" si="17"/>
        <v>0</v>
      </c>
      <c r="K173" s="14" t="s">
        <v>967</v>
      </c>
    </row>
    <row r="174" spans="1:11" ht="16" x14ac:dyDescent="0.2">
      <c r="A174" s="14" t="s">
        <v>482</v>
      </c>
      <c r="B174" s="14">
        <v>1</v>
      </c>
      <c r="C174" s="14" t="s">
        <v>975</v>
      </c>
      <c r="D174" s="14">
        <v>38</v>
      </c>
      <c r="E174" s="15"/>
      <c r="F174" s="14">
        <v>0.83</v>
      </c>
      <c r="G174" s="14">
        <v>5</v>
      </c>
      <c r="H174" s="14">
        <f t="shared" si="15"/>
        <v>0</v>
      </c>
      <c r="I174" s="14">
        <f t="shared" si="16"/>
        <v>0</v>
      </c>
      <c r="J174" s="14">
        <f t="shared" si="17"/>
        <v>0</v>
      </c>
      <c r="K174" s="14" t="s">
        <v>647</v>
      </c>
    </row>
    <row r="175" spans="1:11" ht="16" x14ac:dyDescent="0.2">
      <c r="A175" s="14" t="s">
        <v>377</v>
      </c>
      <c r="B175" s="14">
        <v>0</v>
      </c>
      <c r="C175" s="14" t="s">
        <v>746</v>
      </c>
      <c r="D175" s="14">
        <v>1548</v>
      </c>
      <c r="E175" s="15">
        <v>2.2000000000000002</v>
      </c>
      <c r="F175" s="14"/>
      <c r="G175" s="14"/>
      <c r="H175" s="14">
        <f t="shared" si="15"/>
        <v>1</v>
      </c>
      <c r="I175" s="14">
        <f t="shared" si="16"/>
        <v>0</v>
      </c>
      <c r="J175" s="14">
        <f t="shared" si="17"/>
        <v>0</v>
      </c>
      <c r="K175" s="14" t="s">
        <v>1063</v>
      </c>
    </row>
    <row r="176" spans="1:11" ht="16" x14ac:dyDescent="0.2">
      <c r="A176" s="14" t="s">
        <v>365</v>
      </c>
      <c r="B176" s="14">
        <v>0</v>
      </c>
      <c r="C176" s="14" t="s">
        <v>907</v>
      </c>
      <c r="D176" s="14">
        <v>400</v>
      </c>
      <c r="E176" s="15">
        <v>1.5</v>
      </c>
      <c r="F176" s="14">
        <v>12</v>
      </c>
      <c r="G176" s="14"/>
      <c r="H176" s="14">
        <f t="shared" si="15"/>
        <v>1</v>
      </c>
      <c r="I176" s="14">
        <f t="shared" si="16"/>
        <v>1</v>
      </c>
      <c r="J176" s="14">
        <f t="shared" si="17"/>
        <v>0</v>
      </c>
      <c r="K176" s="14" t="s">
        <v>1062</v>
      </c>
    </row>
    <row r="177" spans="1:11" ht="16" x14ac:dyDescent="0.2">
      <c r="A177" s="14" t="s">
        <v>406</v>
      </c>
      <c r="B177" s="14">
        <v>0</v>
      </c>
      <c r="C177" s="14" t="s">
        <v>699</v>
      </c>
      <c r="D177" s="14">
        <v>346</v>
      </c>
      <c r="E177" s="15">
        <v>1.2</v>
      </c>
      <c r="F177" s="14"/>
      <c r="G177" s="14"/>
      <c r="H177" s="14">
        <f t="shared" si="15"/>
        <v>1</v>
      </c>
      <c r="I177" s="14">
        <f t="shared" si="16"/>
        <v>0</v>
      </c>
      <c r="J177" s="14">
        <f t="shared" si="17"/>
        <v>0</v>
      </c>
      <c r="K177" s="14" t="s">
        <v>615</v>
      </c>
    </row>
    <row r="178" spans="1:11" ht="16" x14ac:dyDescent="0.2">
      <c r="A178" s="14" t="s">
        <v>355</v>
      </c>
      <c r="B178" s="14">
        <v>0</v>
      </c>
      <c r="C178" s="14" t="s">
        <v>900</v>
      </c>
      <c r="D178" s="14">
        <v>280</v>
      </c>
      <c r="E178" s="15">
        <v>1</v>
      </c>
      <c r="F178" s="14"/>
      <c r="G178" s="14"/>
      <c r="H178" s="14">
        <f t="shared" si="15"/>
        <v>1</v>
      </c>
      <c r="I178" s="14">
        <f t="shared" si="16"/>
        <v>0</v>
      </c>
      <c r="J178" s="14">
        <f t="shared" si="17"/>
        <v>0</v>
      </c>
      <c r="K178" s="14" t="s">
        <v>902</v>
      </c>
    </row>
    <row r="179" spans="1:11" ht="16" x14ac:dyDescent="0.2">
      <c r="A179" s="14" t="s">
        <v>578</v>
      </c>
      <c r="B179" s="14">
        <v>0</v>
      </c>
      <c r="C179" s="14" t="s">
        <v>1039</v>
      </c>
      <c r="D179" s="14">
        <v>206</v>
      </c>
      <c r="E179" s="15">
        <v>0.9</v>
      </c>
      <c r="F179" s="14"/>
      <c r="G179" s="14"/>
      <c r="H179" s="14">
        <f t="shared" si="15"/>
        <v>1</v>
      </c>
      <c r="I179" s="14">
        <f t="shared" si="16"/>
        <v>0</v>
      </c>
      <c r="J179" s="14">
        <f t="shared" si="17"/>
        <v>0</v>
      </c>
      <c r="K179" s="14" t="s">
        <v>1040</v>
      </c>
    </row>
    <row r="180" spans="1:11" ht="16" x14ac:dyDescent="0.2">
      <c r="A180" s="14" t="s">
        <v>357</v>
      </c>
      <c r="B180" s="14">
        <v>0</v>
      </c>
      <c r="C180" s="14" t="s">
        <v>900</v>
      </c>
      <c r="D180" s="14">
        <v>180</v>
      </c>
      <c r="E180" s="15">
        <v>0.1</v>
      </c>
      <c r="F180" s="14">
        <v>1.74</v>
      </c>
      <c r="G180" s="14">
        <v>3.8</v>
      </c>
      <c r="H180" s="14">
        <f t="shared" si="15"/>
        <v>0</v>
      </c>
      <c r="I180" s="14">
        <f t="shared" si="16"/>
        <v>0</v>
      </c>
      <c r="J180" s="14">
        <f t="shared" si="17"/>
        <v>0</v>
      </c>
      <c r="K180" s="14" t="s">
        <v>904</v>
      </c>
    </row>
    <row r="181" spans="1:11" ht="16" x14ac:dyDescent="0.2">
      <c r="A181" s="14" t="s">
        <v>476</v>
      </c>
      <c r="B181" s="14">
        <v>0</v>
      </c>
      <c r="C181" s="14" t="s">
        <v>965</v>
      </c>
      <c r="D181" s="14">
        <v>153</v>
      </c>
      <c r="E181" s="15">
        <v>0.85</v>
      </c>
      <c r="F181" s="14">
        <v>2.9</v>
      </c>
      <c r="G181" s="14"/>
      <c r="H181" s="14">
        <f t="shared" si="15"/>
        <v>0</v>
      </c>
      <c r="I181" s="14">
        <f t="shared" si="16"/>
        <v>0</v>
      </c>
      <c r="J181" s="14">
        <f t="shared" si="17"/>
        <v>0</v>
      </c>
      <c r="K181" s="14" t="s">
        <v>970</v>
      </c>
    </row>
    <row r="182" spans="1:11" ht="16" x14ac:dyDescent="0.2">
      <c r="A182" s="14" t="s">
        <v>367</v>
      </c>
      <c r="B182" s="14">
        <v>0</v>
      </c>
      <c r="C182" s="14" t="s">
        <v>907</v>
      </c>
      <c r="D182" s="14">
        <v>130</v>
      </c>
      <c r="E182" s="15">
        <v>1.8</v>
      </c>
      <c r="F182" s="14"/>
      <c r="G182" s="14"/>
      <c r="H182" s="14">
        <f t="shared" si="15"/>
        <v>1</v>
      </c>
      <c r="I182" s="14">
        <f t="shared" si="16"/>
        <v>0</v>
      </c>
      <c r="J182" s="14">
        <f t="shared" si="17"/>
        <v>0</v>
      </c>
      <c r="K182" s="14" t="s">
        <v>615</v>
      </c>
    </row>
    <row r="183" spans="1:11" ht="16" x14ac:dyDescent="0.2">
      <c r="A183" s="14" t="s">
        <v>534</v>
      </c>
      <c r="B183" s="14">
        <v>0</v>
      </c>
      <c r="C183" s="14" t="s">
        <v>1012</v>
      </c>
      <c r="D183" s="14">
        <v>67</v>
      </c>
      <c r="E183" s="15">
        <v>1.5</v>
      </c>
      <c r="F183" s="14"/>
      <c r="G183" s="14"/>
      <c r="H183" s="14">
        <f t="shared" si="15"/>
        <v>0</v>
      </c>
      <c r="I183" s="14">
        <f t="shared" si="16"/>
        <v>0</v>
      </c>
      <c r="J183" s="14">
        <f t="shared" si="17"/>
        <v>0</v>
      </c>
      <c r="K183" s="14" t="s">
        <v>895</v>
      </c>
    </row>
    <row r="184" spans="1:11" ht="16" x14ac:dyDescent="0.2">
      <c r="A184" s="14" t="s">
        <v>486</v>
      </c>
      <c r="B184" s="14">
        <v>0</v>
      </c>
      <c r="C184" s="14" t="s">
        <v>782</v>
      </c>
      <c r="D184" s="14">
        <v>46</v>
      </c>
      <c r="E184" s="15">
        <v>0.1</v>
      </c>
      <c r="F184" s="14"/>
      <c r="G184" s="14"/>
      <c r="H184" s="14">
        <f t="shared" si="15"/>
        <v>0</v>
      </c>
      <c r="I184" s="14">
        <f t="shared" si="16"/>
        <v>0</v>
      </c>
      <c r="J184" s="14">
        <f t="shared" si="17"/>
        <v>0</v>
      </c>
      <c r="K184" s="14" t="s">
        <v>979</v>
      </c>
    </row>
    <row r="187" spans="1:11" x14ac:dyDescent="0.2">
      <c r="A187" t="s">
        <v>1087</v>
      </c>
      <c r="B187">
        <v>183</v>
      </c>
    </row>
    <row r="188" spans="1:11" x14ac:dyDescent="0.2">
      <c r="A188" t="s">
        <v>1088</v>
      </c>
      <c r="B188">
        <v>111</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FB1B-5820-EF4A-A816-DEBF694028E7}">
  <dimension ref="A1:G99"/>
  <sheetViews>
    <sheetView workbookViewId="0">
      <selection activeCell="G28" sqref="G28"/>
    </sheetView>
  </sheetViews>
  <sheetFormatPr baseColWidth="10" defaultRowHeight="15" x14ac:dyDescent="0.2"/>
  <cols>
    <col min="1" max="1" width="20.1640625" bestFit="1" customWidth="1"/>
    <col min="2" max="2" width="21.6640625" bestFit="1" customWidth="1"/>
    <col min="3" max="5" width="20.6640625" bestFit="1" customWidth="1"/>
    <col min="6" max="6" width="20.5" bestFit="1" customWidth="1"/>
    <col min="7" max="7" width="7.1640625" bestFit="1" customWidth="1"/>
  </cols>
  <sheetData>
    <row r="1" spans="1:7" x14ac:dyDescent="0.2">
      <c r="A1" s="4" t="s">
        <v>1069</v>
      </c>
      <c r="B1" t="s">
        <v>1077</v>
      </c>
      <c r="C1" s="7" t="s">
        <v>1072</v>
      </c>
      <c r="D1" s="6" t="s">
        <v>1073</v>
      </c>
      <c r="F1" s="11" t="s">
        <v>1078</v>
      </c>
      <c r="G1" s="11">
        <f>(G3/G4)*100</f>
        <v>70.203583274569723</v>
      </c>
    </row>
    <row r="2" spans="1:7" x14ac:dyDescent="0.2">
      <c r="A2" s="5" t="s">
        <v>802</v>
      </c>
      <c r="B2">
        <v>20614</v>
      </c>
      <c r="C2">
        <f>(B2/B$99)*100</f>
        <v>6.729739611898979</v>
      </c>
      <c r="D2">
        <f>C2^2</f>
        <v>45.289395243962218</v>
      </c>
    </row>
    <row r="3" spans="1:7" x14ac:dyDescent="0.2">
      <c r="A3" s="5" t="s">
        <v>716</v>
      </c>
      <c r="B3">
        <v>69</v>
      </c>
      <c r="C3">
        <f t="shared" ref="C3:C66" si="0">(B3/B$99)*100</f>
        <v>2.2526051868682912E-2</v>
      </c>
      <c r="D3">
        <f t="shared" ref="D3:D66" si="1">C3^2</f>
        <v>5.0742301279059292E-4</v>
      </c>
      <c r="F3" t="s">
        <v>1075</v>
      </c>
      <c r="G3">
        <f>GETPIVOTDATA("Number of reviews",$A$1,"Brand","De'Longhi")+GETPIVOTDATA("Number of reviews",$A$1,"Brand","Nespresso")+GETPIVOTDATA("Number of reviews",$A$1,"Brand","KRUPS")+GETPIVOTDATA("Number of reviews",$A$1,"Brand","AeroPress")</f>
        <v>215042</v>
      </c>
    </row>
    <row r="4" spans="1:7" x14ac:dyDescent="0.2">
      <c r="A4" s="5" t="s">
        <v>786</v>
      </c>
      <c r="B4">
        <v>12</v>
      </c>
      <c r="C4">
        <f t="shared" si="0"/>
        <v>3.9175742380318105E-3</v>
      </c>
      <c r="D4">
        <f t="shared" si="1"/>
        <v>1.534738791049052E-5</v>
      </c>
      <c r="F4" t="s">
        <v>1076</v>
      </c>
      <c r="G4">
        <f>GETPIVOTDATA("Number of reviews",$A$1)</f>
        <v>306312</v>
      </c>
    </row>
    <row r="5" spans="1:7" x14ac:dyDescent="0.2">
      <c r="A5" s="5" t="s">
        <v>705</v>
      </c>
      <c r="B5">
        <v>203</v>
      </c>
      <c r="C5">
        <f t="shared" si="0"/>
        <v>6.6272297526704799E-2</v>
      </c>
      <c r="D5">
        <f t="shared" si="1"/>
        <v>4.3920174194680833E-3</v>
      </c>
    </row>
    <row r="6" spans="1:7" x14ac:dyDescent="0.2">
      <c r="A6" s="5" t="s">
        <v>812</v>
      </c>
      <c r="B6">
        <v>16</v>
      </c>
      <c r="C6">
        <f t="shared" si="0"/>
        <v>5.2234323173757482E-3</v>
      </c>
      <c r="D6">
        <f t="shared" si="1"/>
        <v>2.7284245174205379E-5</v>
      </c>
    </row>
    <row r="7" spans="1:7" x14ac:dyDescent="0.2">
      <c r="A7" s="5" t="s">
        <v>720</v>
      </c>
      <c r="B7">
        <v>888</v>
      </c>
      <c r="C7">
        <f t="shared" si="0"/>
        <v>0.28990049361435399</v>
      </c>
      <c r="D7">
        <f t="shared" si="1"/>
        <v>8.4042296197846103E-2</v>
      </c>
    </row>
    <row r="8" spans="1:7" x14ac:dyDescent="0.2">
      <c r="A8" s="5" t="s">
        <v>975</v>
      </c>
      <c r="B8">
        <v>1</v>
      </c>
      <c r="C8">
        <f t="shared" si="0"/>
        <v>3.2646451983598426E-4</v>
      </c>
      <c r="D8">
        <f t="shared" si="1"/>
        <v>1.0657908271173976E-7</v>
      </c>
    </row>
    <row r="9" spans="1:7" x14ac:dyDescent="0.2">
      <c r="A9" s="5" t="s">
        <v>815</v>
      </c>
      <c r="B9">
        <v>378</v>
      </c>
      <c r="C9">
        <f t="shared" si="0"/>
        <v>0.12340358849800204</v>
      </c>
      <c r="D9">
        <f t="shared" si="1"/>
        <v>1.5228445654184221E-2</v>
      </c>
    </row>
    <row r="10" spans="1:7" x14ac:dyDescent="0.2">
      <c r="A10" s="5" t="s">
        <v>817</v>
      </c>
      <c r="B10">
        <v>7</v>
      </c>
      <c r="C10">
        <f t="shared" si="0"/>
        <v>2.2852516388518897E-3</v>
      </c>
      <c r="D10">
        <f t="shared" si="1"/>
        <v>5.2223750528752475E-6</v>
      </c>
    </row>
    <row r="11" spans="1:7" x14ac:dyDescent="0.2">
      <c r="A11" s="5" t="s">
        <v>645</v>
      </c>
      <c r="B11">
        <v>128</v>
      </c>
      <c r="C11">
        <f t="shared" si="0"/>
        <v>4.1787458539005985E-2</v>
      </c>
      <c r="D11">
        <f t="shared" si="1"/>
        <v>1.7461916911491442E-3</v>
      </c>
    </row>
    <row r="12" spans="1:7" x14ac:dyDescent="0.2">
      <c r="A12" s="5" t="s">
        <v>823</v>
      </c>
      <c r="B12">
        <v>32</v>
      </c>
      <c r="C12">
        <f t="shared" si="0"/>
        <v>1.0446864634751496E-2</v>
      </c>
      <c r="D12">
        <f t="shared" si="1"/>
        <v>1.0913698069682151E-4</v>
      </c>
    </row>
    <row r="13" spans="1:7" x14ac:dyDescent="0.2">
      <c r="A13" s="5" t="s">
        <v>828</v>
      </c>
      <c r="B13">
        <v>5495</v>
      </c>
      <c r="C13">
        <f t="shared" si="0"/>
        <v>1.7939225364987332</v>
      </c>
      <c r="D13">
        <f t="shared" si="1"/>
        <v>3.2181580669580487</v>
      </c>
    </row>
    <row r="14" spans="1:7" x14ac:dyDescent="0.2">
      <c r="A14" s="5" t="s">
        <v>930</v>
      </c>
      <c r="B14">
        <v>63</v>
      </c>
      <c r="C14">
        <f t="shared" si="0"/>
        <v>2.0567264749667004E-2</v>
      </c>
      <c r="D14">
        <f t="shared" si="1"/>
        <v>4.2301237928289492E-4</v>
      </c>
    </row>
    <row r="15" spans="1:7" x14ac:dyDescent="0.2">
      <c r="A15" s="5" t="s">
        <v>767</v>
      </c>
      <c r="B15">
        <v>1339</v>
      </c>
      <c r="C15">
        <f t="shared" si="0"/>
        <v>0.43713599206038284</v>
      </c>
      <c r="D15">
        <f t="shared" si="1"/>
        <v>0.19108787555461509</v>
      </c>
    </row>
    <row r="16" spans="1:7" x14ac:dyDescent="0.2">
      <c r="A16" s="5" t="s">
        <v>834</v>
      </c>
      <c r="B16">
        <v>13422</v>
      </c>
      <c r="C16">
        <f t="shared" si="0"/>
        <v>4.38180678523858</v>
      </c>
      <c r="D16">
        <f t="shared" si="1"/>
        <v>19.200230703162859</v>
      </c>
    </row>
    <row r="17" spans="1:4" x14ac:dyDescent="0.2">
      <c r="A17" s="5" t="s">
        <v>837</v>
      </c>
      <c r="B17">
        <v>202</v>
      </c>
      <c r="C17">
        <f t="shared" si="0"/>
        <v>6.5945833006868806E-2</v>
      </c>
      <c r="D17">
        <f t="shared" si="1"/>
        <v>4.3488528909698277E-3</v>
      </c>
    </row>
    <row r="18" spans="1:4" x14ac:dyDescent="0.2">
      <c r="A18" s="5" t="s">
        <v>769</v>
      </c>
      <c r="B18">
        <v>103</v>
      </c>
      <c r="C18">
        <f t="shared" si="0"/>
        <v>3.3625845543106374E-2</v>
      </c>
      <c r="D18">
        <f t="shared" si="1"/>
        <v>1.1306974884888468E-3</v>
      </c>
    </row>
    <row r="19" spans="1:4" x14ac:dyDescent="0.2">
      <c r="A19" s="5" t="s">
        <v>840</v>
      </c>
      <c r="B19">
        <v>29</v>
      </c>
      <c r="C19">
        <f t="shared" si="0"/>
        <v>9.4674710752435439E-3</v>
      </c>
      <c r="D19">
        <f t="shared" si="1"/>
        <v>8.9633008560573149E-5</v>
      </c>
    </row>
    <row r="20" spans="1:4" x14ac:dyDescent="0.2">
      <c r="A20" s="5" t="s">
        <v>678</v>
      </c>
      <c r="B20">
        <v>1621</v>
      </c>
      <c r="C20">
        <f t="shared" si="0"/>
        <v>0.52919898665413045</v>
      </c>
      <c r="D20">
        <f t="shared" si="1"/>
        <v>0.28005156747575854</v>
      </c>
    </row>
    <row r="21" spans="1:4" x14ac:dyDescent="0.2">
      <c r="A21" s="5" t="s">
        <v>631</v>
      </c>
      <c r="B21">
        <v>423</v>
      </c>
      <c r="C21">
        <f t="shared" si="0"/>
        <v>0.13809449189062134</v>
      </c>
      <c r="D21">
        <f t="shared" si="1"/>
        <v>1.9070088690528883E-2</v>
      </c>
    </row>
    <row r="22" spans="1:4" x14ac:dyDescent="0.2">
      <c r="A22" s="5" t="s">
        <v>847</v>
      </c>
      <c r="B22">
        <v>5</v>
      </c>
      <c r="C22">
        <f t="shared" si="0"/>
        <v>1.632322599179921E-3</v>
      </c>
      <c r="D22">
        <f t="shared" si="1"/>
        <v>2.6644770677934933E-6</v>
      </c>
    </row>
    <row r="23" spans="1:4" x14ac:dyDescent="0.2">
      <c r="A23" s="5" t="s">
        <v>658</v>
      </c>
      <c r="B23">
        <v>734</v>
      </c>
      <c r="C23">
        <f t="shared" si="0"/>
        <v>0.23962495755961241</v>
      </c>
      <c r="D23">
        <f t="shared" si="1"/>
        <v>5.7420120285446047E-2</v>
      </c>
    </row>
    <row r="24" spans="1:4" x14ac:dyDescent="0.2">
      <c r="A24" s="5" t="s">
        <v>852</v>
      </c>
      <c r="B24">
        <v>9</v>
      </c>
      <c r="C24">
        <f t="shared" si="0"/>
        <v>2.9381806785238581E-3</v>
      </c>
      <c r="D24">
        <f t="shared" si="1"/>
        <v>8.632905699650919E-6</v>
      </c>
    </row>
    <row r="25" spans="1:4" x14ac:dyDescent="0.2">
      <c r="A25" s="5" t="s">
        <v>648</v>
      </c>
      <c r="B25">
        <v>105275</v>
      </c>
      <c r="C25">
        <f t="shared" si="0"/>
        <v>34.368552325733233</v>
      </c>
      <c r="D25">
        <f t="shared" si="1"/>
        <v>1181.1973889666633</v>
      </c>
    </row>
    <row r="26" spans="1:4" x14ac:dyDescent="0.2">
      <c r="A26" s="5" t="s">
        <v>796</v>
      </c>
      <c r="B26">
        <v>2</v>
      </c>
      <c r="C26">
        <f t="shared" si="0"/>
        <v>6.5292903967196852E-4</v>
      </c>
      <c r="D26">
        <f t="shared" si="1"/>
        <v>4.2631633084695904E-7</v>
      </c>
    </row>
    <row r="27" spans="1:4" x14ac:dyDescent="0.2">
      <c r="A27" s="5" t="s">
        <v>881</v>
      </c>
      <c r="B27">
        <v>488</v>
      </c>
      <c r="C27">
        <f t="shared" si="0"/>
        <v>0.15931468567996029</v>
      </c>
      <c r="D27">
        <f t="shared" si="1"/>
        <v>2.5381169073304545E-2</v>
      </c>
    </row>
    <row r="28" spans="1:4" x14ac:dyDescent="0.2">
      <c r="A28" s="5" t="s">
        <v>865</v>
      </c>
      <c r="B28">
        <v>214</v>
      </c>
      <c r="C28">
        <f t="shared" si="0"/>
        <v>6.986340724490063E-2</v>
      </c>
      <c r="D28">
        <f t="shared" si="1"/>
        <v>4.8808956718668335E-3</v>
      </c>
    </row>
    <row r="29" spans="1:4" x14ac:dyDescent="0.2">
      <c r="A29" s="5" t="s">
        <v>680</v>
      </c>
      <c r="B29">
        <v>51</v>
      </c>
      <c r="C29">
        <f t="shared" si="0"/>
        <v>1.6649690511635194E-2</v>
      </c>
      <c r="D29">
        <f t="shared" si="1"/>
        <v>2.7721219413323503E-4</v>
      </c>
    </row>
    <row r="30" spans="1:4" x14ac:dyDescent="0.2">
      <c r="A30" s="5" t="s">
        <v>661</v>
      </c>
      <c r="B30">
        <v>4732</v>
      </c>
      <c r="C30">
        <f t="shared" si="0"/>
        <v>1.5448301078638773</v>
      </c>
      <c r="D30">
        <f t="shared" si="1"/>
        <v>2.3865000621627188</v>
      </c>
    </row>
    <row r="31" spans="1:4" x14ac:dyDescent="0.2">
      <c r="A31" s="5" t="s">
        <v>683</v>
      </c>
      <c r="B31">
        <v>1161</v>
      </c>
      <c r="C31">
        <f t="shared" si="0"/>
        <v>0.37902530752957769</v>
      </c>
      <c r="D31">
        <f t="shared" si="1"/>
        <v>0.14366018374789094</v>
      </c>
    </row>
    <row r="32" spans="1:4" x14ac:dyDescent="0.2">
      <c r="A32" s="5" t="s">
        <v>764</v>
      </c>
      <c r="B32">
        <v>56</v>
      </c>
      <c r="C32">
        <f t="shared" si="0"/>
        <v>1.8282013110815117E-2</v>
      </c>
      <c r="D32">
        <f t="shared" si="1"/>
        <v>3.3423200338401584E-4</v>
      </c>
    </row>
    <row r="33" spans="1:4" x14ac:dyDescent="0.2">
      <c r="A33" s="5" t="s">
        <v>737</v>
      </c>
      <c r="B33">
        <v>32</v>
      </c>
      <c r="C33">
        <f t="shared" si="0"/>
        <v>1.0446864634751496E-2</v>
      </c>
      <c r="D33">
        <f t="shared" si="1"/>
        <v>1.0913698069682151E-4</v>
      </c>
    </row>
    <row r="34" spans="1:4" x14ac:dyDescent="0.2">
      <c r="A34" s="5" t="s">
        <v>610</v>
      </c>
      <c r="B34">
        <v>3534</v>
      </c>
      <c r="C34">
        <f t="shared" si="0"/>
        <v>1.1537256131003684</v>
      </c>
      <c r="D34">
        <f t="shared" si="1"/>
        <v>1.3310827903238209</v>
      </c>
    </row>
    <row r="35" spans="1:4" x14ac:dyDescent="0.2">
      <c r="A35" s="5" t="s">
        <v>692</v>
      </c>
      <c r="B35">
        <v>101</v>
      </c>
      <c r="C35">
        <f t="shared" si="0"/>
        <v>3.2972916503434403E-2</v>
      </c>
      <c r="D35">
        <f t="shared" si="1"/>
        <v>1.0872132227424569E-3</v>
      </c>
    </row>
    <row r="36" spans="1:4" x14ac:dyDescent="0.2">
      <c r="A36" s="5" t="s">
        <v>991</v>
      </c>
      <c r="B36">
        <v>5</v>
      </c>
      <c r="C36">
        <f t="shared" si="0"/>
        <v>1.632322599179921E-3</v>
      </c>
      <c r="D36">
        <f t="shared" si="1"/>
        <v>2.6644770677934933E-6</v>
      </c>
    </row>
    <row r="37" spans="1:4" x14ac:dyDescent="0.2">
      <c r="A37" s="5" t="s">
        <v>890</v>
      </c>
      <c r="B37">
        <v>6310</v>
      </c>
      <c r="C37">
        <f t="shared" si="0"/>
        <v>2.0599911201650603</v>
      </c>
      <c r="D37">
        <f t="shared" si="1"/>
        <v>4.2435634151589001</v>
      </c>
    </row>
    <row r="38" spans="1:4" x14ac:dyDescent="0.2">
      <c r="A38" s="5" t="s">
        <v>893</v>
      </c>
      <c r="B38">
        <v>64</v>
      </c>
      <c r="C38">
        <f t="shared" si="0"/>
        <v>2.0893729269502993E-2</v>
      </c>
      <c r="D38">
        <f t="shared" si="1"/>
        <v>4.3654792278728606E-4</v>
      </c>
    </row>
    <row r="39" spans="1:4" x14ac:dyDescent="0.2">
      <c r="A39" s="5" t="s">
        <v>952</v>
      </c>
      <c r="B39">
        <v>2</v>
      </c>
      <c r="C39">
        <f t="shared" si="0"/>
        <v>6.5292903967196852E-4</v>
      </c>
      <c r="D39">
        <f t="shared" si="1"/>
        <v>4.2631633084695904E-7</v>
      </c>
    </row>
    <row r="40" spans="1:4" x14ac:dyDescent="0.2">
      <c r="A40" s="5" t="s">
        <v>782</v>
      </c>
      <c r="B40">
        <v>9</v>
      </c>
      <c r="C40">
        <f t="shared" si="0"/>
        <v>2.9381806785238581E-3</v>
      </c>
      <c r="D40">
        <f t="shared" si="1"/>
        <v>8.632905699650919E-6</v>
      </c>
    </row>
    <row r="41" spans="1:4" x14ac:dyDescent="0.2">
      <c r="A41" s="5" t="s">
        <v>896</v>
      </c>
      <c r="B41">
        <v>24</v>
      </c>
      <c r="C41">
        <f t="shared" si="0"/>
        <v>7.8351484760636209E-3</v>
      </c>
      <c r="D41">
        <f t="shared" si="1"/>
        <v>6.1389551641962081E-5</v>
      </c>
    </row>
    <row r="42" spans="1:4" x14ac:dyDescent="0.2">
      <c r="A42" s="5" t="s">
        <v>900</v>
      </c>
      <c r="B42">
        <v>0</v>
      </c>
      <c r="C42">
        <f t="shared" si="0"/>
        <v>0</v>
      </c>
      <c r="D42">
        <f t="shared" si="1"/>
        <v>0</v>
      </c>
    </row>
    <row r="43" spans="1:4" x14ac:dyDescent="0.2">
      <c r="A43" s="5" t="s">
        <v>693</v>
      </c>
      <c r="B43">
        <v>50</v>
      </c>
      <c r="C43">
        <f t="shared" si="0"/>
        <v>1.6323225991799209E-2</v>
      </c>
      <c r="D43">
        <f t="shared" si="1"/>
        <v>2.6644770677934924E-4</v>
      </c>
    </row>
    <row r="44" spans="1:4" x14ac:dyDescent="0.2">
      <c r="A44" s="5" t="s">
        <v>941</v>
      </c>
      <c r="B44">
        <v>5</v>
      </c>
      <c r="C44">
        <f t="shared" si="0"/>
        <v>1.632322599179921E-3</v>
      </c>
      <c r="D44">
        <f t="shared" si="1"/>
        <v>2.6644770677934933E-6</v>
      </c>
    </row>
    <row r="45" spans="1:4" x14ac:dyDescent="0.2">
      <c r="A45" s="5" t="s">
        <v>905</v>
      </c>
      <c r="B45">
        <v>44</v>
      </c>
      <c r="C45">
        <f t="shared" si="0"/>
        <v>1.4364438872783306E-2</v>
      </c>
      <c r="D45">
        <f t="shared" si="1"/>
        <v>2.0633710412992814E-4</v>
      </c>
    </row>
    <row r="46" spans="1:4" x14ac:dyDescent="0.2">
      <c r="A46" s="5" t="s">
        <v>973</v>
      </c>
      <c r="B46">
        <v>10</v>
      </c>
      <c r="C46">
        <f t="shared" si="0"/>
        <v>3.2646451983598421E-3</v>
      </c>
      <c r="D46">
        <f t="shared" si="1"/>
        <v>1.0657908271173973E-5</v>
      </c>
    </row>
    <row r="47" spans="1:4" x14ac:dyDescent="0.2">
      <c r="A47" s="5" t="s">
        <v>651</v>
      </c>
      <c r="B47">
        <v>2</v>
      </c>
      <c r="C47">
        <f t="shared" si="0"/>
        <v>6.5292903967196852E-4</v>
      </c>
      <c r="D47">
        <f t="shared" si="1"/>
        <v>4.2631633084695904E-7</v>
      </c>
    </row>
    <row r="48" spans="1:4" x14ac:dyDescent="0.2">
      <c r="A48" s="5" t="s">
        <v>907</v>
      </c>
      <c r="B48">
        <v>0</v>
      </c>
      <c r="C48">
        <f t="shared" si="0"/>
        <v>0</v>
      </c>
      <c r="D48">
        <f t="shared" si="1"/>
        <v>0</v>
      </c>
    </row>
    <row r="49" spans="1:4" x14ac:dyDescent="0.2">
      <c r="A49" s="5" t="s">
        <v>945</v>
      </c>
      <c r="B49">
        <v>237</v>
      </c>
      <c r="C49">
        <f t="shared" si="0"/>
        <v>7.7372091201128257E-2</v>
      </c>
      <c r="D49">
        <f t="shared" si="1"/>
        <v>5.9864404968357088E-3</v>
      </c>
    </row>
    <row r="50" spans="1:4" x14ac:dyDescent="0.2">
      <c r="A50" s="5" t="s">
        <v>908</v>
      </c>
      <c r="B50">
        <v>124</v>
      </c>
      <c r="C50">
        <f t="shared" si="0"/>
        <v>4.0481600459662044E-2</v>
      </c>
      <c r="D50">
        <f t="shared" si="1"/>
        <v>1.6387599757757103E-3</v>
      </c>
    </row>
    <row r="51" spans="1:4" x14ac:dyDescent="0.2">
      <c r="A51" s="5" t="s">
        <v>746</v>
      </c>
      <c r="B51">
        <v>190</v>
      </c>
      <c r="C51">
        <f t="shared" si="0"/>
        <v>6.2028258768837011E-2</v>
      </c>
      <c r="D51">
        <f t="shared" si="1"/>
        <v>3.8475048858938057E-3</v>
      </c>
    </row>
    <row r="52" spans="1:4" x14ac:dyDescent="0.2">
      <c r="A52" s="5" t="s">
        <v>668</v>
      </c>
      <c r="B52">
        <v>1270</v>
      </c>
      <c r="C52">
        <f t="shared" si="0"/>
        <v>0.4146099401917</v>
      </c>
      <c r="D52">
        <f t="shared" si="1"/>
        <v>0.17190140250576505</v>
      </c>
    </row>
    <row r="53" spans="1:4" x14ac:dyDescent="0.2">
      <c r="A53" s="5" t="s">
        <v>740</v>
      </c>
      <c r="B53">
        <v>3229</v>
      </c>
      <c r="C53">
        <f t="shared" si="0"/>
        <v>1.054153934550393</v>
      </c>
      <c r="D53">
        <f t="shared" si="1"/>
        <v>1.1112405177280742</v>
      </c>
    </row>
    <row r="54" spans="1:4" x14ac:dyDescent="0.2">
      <c r="A54" s="5" t="s">
        <v>748</v>
      </c>
      <c r="B54">
        <v>26624</v>
      </c>
      <c r="C54">
        <f t="shared" si="0"/>
        <v>8.6917913761132439</v>
      </c>
      <c r="D54">
        <f t="shared" si="1"/>
        <v>75.547237325876551</v>
      </c>
    </row>
    <row r="55" spans="1:4" x14ac:dyDescent="0.2">
      <c r="A55" s="5" t="s">
        <v>980</v>
      </c>
      <c r="B55">
        <v>87</v>
      </c>
      <c r="C55">
        <f t="shared" si="0"/>
        <v>2.8402413225730627E-2</v>
      </c>
      <c r="D55">
        <f t="shared" si="1"/>
        <v>8.0669707704515801E-4</v>
      </c>
    </row>
    <row r="56" spans="1:4" x14ac:dyDescent="0.2">
      <c r="A56" s="5" t="s">
        <v>921</v>
      </c>
      <c r="B56">
        <v>3</v>
      </c>
      <c r="C56">
        <f t="shared" si="0"/>
        <v>9.7939355950795262E-4</v>
      </c>
      <c r="D56">
        <f t="shared" si="1"/>
        <v>9.5921174440565752E-7</v>
      </c>
    </row>
    <row r="57" spans="1:4" x14ac:dyDescent="0.2">
      <c r="A57" s="5" t="s">
        <v>923</v>
      </c>
      <c r="B57">
        <v>133</v>
      </c>
      <c r="C57">
        <f t="shared" si="0"/>
        <v>4.3419781138185905E-2</v>
      </c>
      <c r="D57">
        <f t="shared" si="1"/>
        <v>1.8852773940879644E-3</v>
      </c>
    </row>
    <row r="58" spans="1:4" x14ac:dyDescent="0.2">
      <c r="A58" s="5" t="s">
        <v>672</v>
      </c>
      <c r="B58">
        <v>116</v>
      </c>
      <c r="C58">
        <f t="shared" si="0"/>
        <v>3.7869884300974176E-2</v>
      </c>
      <c r="D58">
        <f t="shared" si="1"/>
        <v>1.4341281369691704E-3</v>
      </c>
    </row>
    <row r="59" spans="1:4" x14ac:dyDescent="0.2">
      <c r="A59" s="5" t="s">
        <v>775</v>
      </c>
      <c r="B59">
        <v>52</v>
      </c>
      <c r="C59">
        <f t="shared" si="0"/>
        <v>1.697615503147118E-2</v>
      </c>
      <c r="D59">
        <f t="shared" si="1"/>
        <v>2.8818983965254422E-4</v>
      </c>
    </row>
    <row r="60" spans="1:4" x14ac:dyDescent="0.2">
      <c r="A60" s="5" t="s">
        <v>699</v>
      </c>
      <c r="B60">
        <v>2417</v>
      </c>
      <c r="C60">
        <f t="shared" si="0"/>
        <v>0.78906474444357388</v>
      </c>
      <c r="D60">
        <f t="shared" si="1"/>
        <v>0.62262317092380259</v>
      </c>
    </row>
    <row r="61" spans="1:4" x14ac:dyDescent="0.2">
      <c r="A61" s="5" t="s">
        <v>777</v>
      </c>
      <c r="B61">
        <v>32</v>
      </c>
      <c r="C61">
        <f t="shared" si="0"/>
        <v>1.0446864634751496E-2</v>
      </c>
      <c r="D61">
        <f t="shared" si="1"/>
        <v>1.0913698069682151E-4</v>
      </c>
    </row>
    <row r="62" spans="1:4" x14ac:dyDescent="0.2">
      <c r="A62" s="5" t="s">
        <v>976</v>
      </c>
      <c r="B62">
        <v>3</v>
      </c>
      <c r="C62">
        <f t="shared" si="0"/>
        <v>9.7939355950795262E-4</v>
      </c>
      <c r="D62">
        <f t="shared" si="1"/>
        <v>9.5921174440565752E-7</v>
      </c>
    </row>
    <row r="63" spans="1:4" x14ac:dyDescent="0.2">
      <c r="A63" s="5" t="s">
        <v>933</v>
      </c>
      <c r="B63">
        <v>19</v>
      </c>
      <c r="C63">
        <f t="shared" si="0"/>
        <v>6.2028258768837006E-3</v>
      </c>
      <c r="D63">
        <f t="shared" si="1"/>
        <v>3.8475048858938048E-5</v>
      </c>
    </row>
    <row r="64" spans="1:4" x14ac:dyDescent="0.2">
      <c r="A64" s="5" t="s">
        <v>986</v>
      </c>
      <c r="B64">
        <v>4</v>
      </c>
      <c r="C64">
        <f t="shared" si="0"/>
        <v>1.305858079343937E-3</v>
      </c>
      <c r="D64">
        <f t="shared" si="1"/>
        <v>1.7052653233878362E-6</v>
      </c>
    </row>
    <row r="65" spans="1:4" x14ac:dyDescent="0.2">
      <c r="A65" s="5" t="s">
        <v>674</v>
      </c>
      <c r="B65">
        <v>84</v>
      </c>
      <c r="C65">
        <f t="shared" si="0"/>
        <v>2.7423019666222674E-2</v>
      </c>
      <c r="D65">
        <f t="shared" si="1"/>
        <v>7.5202200761403557E-4</v>
      </c>
    </row>
    <row r="66" spans="1:4" x14ac:dyDescent="0.2">
      <c r="A66" s="5" t="s">
        <v>656</v>
      </c>
      <c r="B66">
        <v>62529</v>
      </c>
      <c r="C66">
        <f t="shared" si="0"/>
        <v>20.413499960824257</v>
      </c>
      <c r="D66">
        <f t="shared" si="1"/>
        <v>416.71098065057197</v>
      </c>
    </row>
    <row r="67" spans="1:4" x14ac:dyDescent="0.2">
      <c r="A67" s="5" t="s">
        <v>954</v>
      </c>
      <c r="B67">
        <v>2</v>
      </c>
      <c r="C67">
        <f t="shared" ref="C67:C99" si="2">(B67/B$99)*100</f>
        <v>6.5292903967196852E-4</v>
      </c>
      <c r="D67">
        <f t="shared" ref="D67:D98" si="3">C67^2</f>
        <v>4.2631633084695904E-7</v>
      </c>
    </row>
    <row r="68" spans="1:4" x14ac:dyDescent="0.2">
      <c r="A68" s="5" t="s">
        <v>749</v>
      </c>
      <c r="B68">
        <v>370</v>
      </c>
      <c r="C68">
        <f t="shared" si="2"/>
        <v>0.12079187233931417</v>
      </c>
      <c r="D68">
        <f t="shared" si="3"/>
        <v>1.4590676423237171E-2</v>
      </c>
    </row>
    <row r="69" spans="1:4" x14ac:dyDescent="0.2">
      <c r="A69" s="5" t="s">
        <v>788</v>
      </c>
      <c r="B69">
        <v>28</v>
      </c>
      <c r="C69">
        <f t="shared" si="2"/>
        <v>9.1410065554075586E-3</v>
      </c>
      <c r="D69">
        <f t="shared" si="3"/>
        <v>8.355800084600396E-5</v>
      </c>
    </row>
    <row r="70" spans="1:4" x14ac:dyDescent="0.2">
      <c r="A70" s="5" t="s">
        <v>790</v>
      </c>
      <c r="B70">
        <v>51</v>
      </c>
      <c r="C70">
        <f t="shared" si="2"/>
        <v>1.6649690511635194E-2</v>
      </c>
      <c r="D70">
        <f t="shared" si="3"/>
        <v>2.7721219413323503E-4</v>
      </c>
    </row>
    <row r="71" spans="1:4" x14ac:dyDescent="0.2">
      <c r="A71" s="5" t="s">
        <v>779</v>
      </c>
      <c r="B71">
        <v>20</v>
      </c>
      <c r="C71">
        <f t="shared" si="2"/>
        <v>6.5292903967196841E-3</v>
      </c>
      <c r="D71">
        <f t="shared" si="3"/>
        <v>4.2631633084695892E-5</v>
      </c>
    </row>
    <row r="72" spans="1:4" x14ac:dyDescent="0.2">
      <c r="A72" s="5" t="s">
        <v>623</v>
      </c>
      <c r="B72">
        <v>5186</v>
      </c>
      <c r="C72">
        <f t="shared" si="2"/>
        <v>1.6930449998694141</v>
      </c>
      <c r="D72">
        <f t="shared" si="3"/>
        <v>2.8664013715828247</v>
      </c>
    </row>
    <row r="73" spans="1:4" x14ac:dyDescent="0.2">
      <c r="A73" s="5" t="s">
        <v>799</v>
      </c>
      <c r="B73">
        <v>73</v>
      </c>
      <c r="C73">
        <f t="shared" si="2"/>
        <v>2.3831909948026846E-2</v>
      </c>
      <c r="D73">
        <f t="shared" si="3"/>
        <v>5.6795993177086092E-4</v>
      </c>
    </row>
    <row r="74" spans="1:4" x14ac:dyDescent="0.2">
      <c r="A74" s="5" t="s">
        <v>960</v>
      </c>
      <c r="B74">
        <v>644</v>
      </c>
      <c r="C74">
        <f t="shared" si="2"/>
        <v>0.21024315077437383</v>
      </c>
      <c r="D74">
        <f t="shared" si="3"/>
        <v>4.4202182447536091E-2</v>
      </c>
    </row>
    <row r="75" spans="1:4" x14ac:dyDescent="0.2">
      <c r="A75" s="5" t="s">
        <v>965</v>
      </c>
      <c r="B75">
        <v>1</v>
      </c>
      <c r="C75">
        <f t="shared" si="2"/>
        <v>3.2646451983598426E-4</v>
      </c>
      <c r="D75">
        <f t="shared" si="3"/>
        <v>1.0657908271173976E-7</v>
      </c>
    </row>
    <row r="76" spans="1:4" x14ac:dyDescent="0.2">
      <c r="A76" s="5" t="s">
        <v>988</v>
      </c>
      <c r="B76">
        <v>311</v>
      </c>
      <c r="C76">
        <f t="shared" si="2"/>
        <v>0.10153046566899109</v>
      </c>
      <c r="D76">
        <f t="shared" si="3"/>
        <v>1.0308435458962177E-2</v>
      </c>
    </row>
    <row r="77" spans="1:4" x14ac:dyDescent="0.2">
      <c r="A77" s="5" t="s">
        <v>939</v>
      </c>
      <c r="B77">
        <v>14</v>
      </c>
      <c r="C77">
        <f t="shared" si="2"/>
        <v>4.5705032777037793E-3</v>
      </c>
      <c r="D77">
        <f t="shared" si="3"/>
        <v>2.088950021150099E-5</v>
      </c>
    </row>
    <row r="78" spans="1:4" x14ac:dyDescent="0.2">
      <c r="A78" s="5" t="s">
        <v>993</v>
      </c>
      <c r="B78">
        <v>2570</v>
      </c>
      <c r="C78">
        <f t="shared" si="2"/>
        <v>0.83901381597847946</v>
      </c>
      <c r="D78">
        <f t="shared" si="3"/>
        <v>0.70394418340276976</v>
      </c>
    </row>
    <row r="79" spans="1:4" x14ac:dyDescent="0.2">
      <c r="A79" s="5" t="s">
        <v>1020</v>
      </c>
      <c r="B79">
        <v>8</v>
      </c>
      <c r="C79">
        <f t="shared" si="2"/>
        <v>2.6117161586878741E-3</v>
      </c>
      <c r="D79">
        <f t="shared" si="3"/>
        <v>6.8210612935513446E-6</v>
      </c>
    </row>
    <row r="80" spans="1:4" x14ac:dyDescent="0.2">
      <c r="A80" s="5" t="s">
        <v>702</v>
      </c>
      <c r="B80">
        <v>2538</v>
      </c>
      <c r="C80">
        <f t="shared" si="2"/>
        <v>0.82856695134372793</v>
      </c>
      <c r="D80">
        <f t="shared" si="3"/>
        <v>0.68652319285903962</v>
      </c>
    </row>
    <row r="81" spans="1:4" x14ac:dyDescent="0.2">
      <c r="A81" s="5" t="s">
        <v>999</v>
      </c>
      <c r="B81">
        <v>198</v>
      </c>
      <c r="C81">
        <f t="shared" si="2"/>
        <v>6.4639974927524879E-2</v>
      </c>
      <c r="D81">
        <f t="shared" si="3"/>
        <v>4.1783263586310454E-3</v>
      </c>
    </row>
    <row r="82" spans="1:4" x14ac:dyDescent="0.2">
      <c r="A82" s="5" t="s">
        <v>759</v>
      </c>
      <c r="B82">
        <v>5</v>
      </c>
      <c r="C82">
        <f t="shared" si="2"/>
        <v>1.632322599179921E-3</v>
      </c>
      <c r="D82">
        <f t="shared" si="3"/>
        <v>2.6644770677934933E-6</v>
      </c>
    </row>
    <row r="83" spans="1:4" x14ac:dyDescent="0.2">
      <c r="A83" s="5" t="s">
        <v>629</v>
      </c>
      <c r="B83">
        <v>265</v>
      </c>
      <c r="C83">
        <f t="shared" si="2"/>
        <v>8.6513097756535817E-2</v>
      </c>
      <c r="D83">
        <f t="shared" si="3"/>
        <v>7.4845160834319229E-3</v>
      </c>
    </row>
    <row r="84" spans="1:4" x14ac:dyDescent="0.2">
      <c r="A84" s="5" t="s">
        <v>1012</v>
      </c>
      <c r="B84">
        <v>0</v>
      </c>
      <c r="C84">
        <f t="shared" si="2"/>
        <v>0</v>
      </c>
      <c r="D84">
        <f t="shared" si="3"/>
        <v>0</v>
      </c>
    </row>
    <row r="85" spans="1:4" x14ac:dyDescent="0.2">
      <c r="A85" s="5" t="s">
        <v>871</v>
      </c>
      <c r="B85">
        <v>990</v>
      </c>
      <c r="C85">
        <f t="shared" si="2"/>
        <v>0.3231998746376244</v>
      </c>
      <c r="D85">
        <f t="shared" si="3"/>
        <v>0.10445815896577612</v>
      </c>
    </row>
    <row r="86" spans="1:4" x14ac:dyDescent="0.2">
      <c r="A86" s="5" t="s">
        <v>872</v>
      </c>
      <c r="B86">
        <v>3</v>
      </c>
      <c r="C86">
        <f t="shared" si="2"/>
        <v>9.7939355950795262E-4</v>
      </c>
      <c r="D86">
        <f t="shared" si="3"/>
        <v>9.5921174440565752E-7</v>
      </c>
    </row>
    <row r="87" spans="1:4" x14ac:dyDescent="0.2">
      <c r="A87" s="5" t="s">
        <v>760</v>
      </c>
      <c r="B87">
        <v>1678</v>
      </c>
      <c r="C87">
        <f t="shared" si="2"/>
        <v>0.54780746428478155</v>
      </c>
      <c r="D87">
        <f t="shared" si="3"/>
        <v>0.3000930179261222</v>
      </c>
    </row>
    <row r="88" spans="1:4" x14ac:dyDescent="0.2">
      <c r="A88" s="5" t="s">
        <v>708</v>
      </c>
      <c r="B88">
        <v>3597</v>
      </c>
      <c r="C88">
        <f t="shared" si="2"/>
        <v>1.1742928778500352</v>
      </c>
      <c r="D88">
        <f t="shared" si="3"/>
        <v>1.3789637629693177</v>
      </c>
    </row>
    <row r="89" spans="1:4" x14ac:dyDescent="0.2">
      <c r="A89" s="5" t="s">
        <v>1017</v>
      </c>
      <c r="B89">
        <v>8</v>
      </c>
      <c r="C89">
        <f t="shared" si="2"/>
        <v>2.6117161586878741E-3</v>
      </c>
      <c r="D89">
        <f t="shared" si="3"/>
        <v>6.8210612935513446E-6</v>
      </c>
    </row>
    <row r="90" spans="1:4" x14ac:dyDescent="0.2">
      <c r="A90" s="5" t="s">
        <v>794</v>
      </c>
      <c r="B90">
        <v>9</v>
      </c>
      <c r="C90">
        <f t="shared" si="2"/>
        <v>2.9381806785238581E-3</v>
      </c>
      <c r="D90">
        <f t="shared" si="3"/>
        <v>8.632905699650919E-6</v>
      </c>
    </row>
    <row r="91" spans="1:4" x14ac:dyDescent="0.2">
      <c r="A91" s="5" t="s">
        <v>1014</v>
      </c>
      <c r="B91">
        <v>391</v>
      </c>
      <c r="C91">
        <f t="shared" si="2"/>
        <v>0.12764762725586984</v>
      </c>
      <c r="D91">
        <f t="shared" si="3"/>
        <v>1.6293916744053484E-2</v>
      </c>
    </row>
    <row r="92" spans="1:4" x14ac:dyDescent="0.2">
      <c r="A92" s="5" t="s">
        <v>752</v>
      </c>
      <c r="B92">
        <v>149</v>
      </c>
      <c r="C92">
        <f t="shared" si="2"/>
        <v>4.8643213455561649E-2</v>
      </c>
      <c r="D92">
        <f t="shared" si="3"/>
        <v>2.3661622152833339E-3</v>
      </c>
    </row>
    <row r="93" spans="1:4" x14ac:dyDescent="0.2">
      <c r="A93" s="5" t="s">
        <v>1028</v>
      </c>
      <c r="B93">
        <v>3396</v>
      </c>
      <c r="C93">
        <f t="shared" si="2"/>
        <v>1.1086735093630025</v>
      </c>
      <c r="D93">
        <f t="shared" si="3"/>
        <v>1.2291569503632755</v>
      </c>
    </row>
    <row r="94" spans="1:4" x14ac:dyDescent="0.2">
      <c r="A94" s="5" t="s">
        <v>639</v>
      </c>
      <c r="B94">
        <v>15542</v>
      </c>
      <c r="C94">
        <f t="shared" si="2"/>
        <v>5.0739115672908666</v>
      </c>
      <c r="D94">
        <f t="shared" si="3"/>
        <v>25.744578592688057</v>
      </c>
    </row>
    <row r="95" spans="1:4" x14ac:dyDescent="0.2">
      <c r="A95" s="5" t="s">
        <v>1037</v>
      </c>
      <c r="B95">
        <v>1200</v>
      </c>
      <c r="C95">
        <f t="shared" si="2"/>
        <v>0.39175742380318107</v>
      </c>
      <c r="D95">
        <f t="shared" si="3"/>
        <v>0.15347387910490523</v>
      </c>
    </row>
    <row r="96" spans="1:4" x14ac:dyDescent="0.2">
      <c r="A96" s="5" t="s">
        <v>1039</v>
      </c>
      <c r="B96">
        <v>0</v>
      </c>
      <c r="C96">
        <f t="shared" si="2"/>
        <v>0</v>
      </c>
      <c r="D96">
        <f t="shared" si="3"/>
        <v>0</v>
      </c>
    </row>
    <row r="97" spans="1:4" x14ac:dyDescent="0.2">
      <c r="A97" s="5" t="s">
        <v>734</v>
      </c>
      <c r="B97">
        <v>1914</v>
      </c>
      <c r="C97">
        <f t="shared" si="2"/>
        <v>0.62485309096607378</v>
      </c>
      <c r="D97">
        <f t="shared" si="3"/>
        <v>0.39044138528985645</v>
      </c>
    </row>
    <row r="98" spans="1:4" x14ac:dyDescent="0.2">
      <c r="A98" s="5" t="s">
        <v>971</v>
      </c>
      <c r="B98">
        <v>34</v>
      </c>
      <c r="C98">
        <f>(B98/B$99)*100</f>
        <v>1.1099793674423463E-2</v>
      </c>
      <c r="D98">
        <f t="shared" si="3"/>
        <v>1.2320541961477114E-4</v>
      </c>
    </row>
    <row r="99" spans="1:4" x14ac:dyDescent="0.2">
      <c r="A99" s="5" t="s">
        <v>1070</v>
      </c>
      <c r="B99">
        <v>306312</v>
      </c>
      <c r="C99">
        <f t="shared" si="2"/>
        <v>100</v>
      </c>
      <c r="D99" s="6">
        <f>SUM(D2:D98)</f>
        <v>1785.5421264513016</v>
      </c>
    </row>
  </sheetData>
  <sortState xmlns:xlrd2="http://schemas.microsoft.com/office/spreadsheetml/2017/richdata2" ref="F2:F99">
    <sortCondition descending="1" ref="F2:F9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7C71-8717-9248-A1DA-5F5A4A0D2398}">
  <dimension ref="A1:K126"/>
  <sheetViews>
    <sheetView workbookViewId="0">
      <selection activeCell="E11" sqref="E11"/>
    </sheetView>
  </sheetViews>
  <sheetFormatPr baseColWidth="10" defaultRowHeight="15" x14ac:dyDescent="0.2"/>
  <sheetData>
    <row r="1" spans="1:11" x14ac:dyDescent="0.2">
      <c r="A1" t="s">
        <v>1052</v>
      </c>
      <c r="B1" t="s">
        <v>604</v>
      </c>
      <c r="E1" s="13" t="s">
        <v>1098</v>
      </c>
      <c r="F1" s="13"/>
      <c r="G1" s="13"/>
      <c r="H1" s="13"/>
      <c r="I1" s="13"/>
      <c r="J1" s="13"/>
      <c r="K1" s="13"/>
    </row>
    <row r="2" spans="1:11" x14ac:dyDescent="0.2">
      <c r="A2">
        <v>10.75</v>
      </c>
      <c r="B2">
        <v>1404</v>
      </c>
    </row>
    <row r="3" spans="1:11" x14ac:dyDescent="0.2">
      <c r="A3">
        <v>12.7</v>
      </c>
      <c r="B3">
        <v>1309</v>
      </c>
    </row>
    <row r="4" spans="1:11" x14ac:dyDescent="0.2">
      <c r="A4">
        <v>5.5</v>
      </c>
      <c r="B4">
        <v>956</v>
      </c>
    </row>
    <row r="5" spans="1:11" x14ac:dyDescent="0.2">
      <c r="A5">
        <v>13</v>
      </c>
      <c r="B5">
        <v>799</v>
      </c>
    </row>
    <row r="6" spans="1:11" x14ac:dyDescent="0.2">
      <c r="A6">
        <v>4.99</v>
      </c>
      <c r="B6">
        <v>695</v>
      </c>
    </row>
    <row r="7" spans="1:11" x14ac:dyDescent="0.2">
      <c r="A7">
        <v>7.7</v>
      </c>
      <c r="B7">
        <v>589</v>
      </c>
    </row>
    <row r="8" spans="1:11" x14ac:dyDescent="0.2">
      <c r="A8">
        <v>4.9400000000000004</v>
      </c>
      <c r="B8">
        <v>567</v>
      </c>
    </row>
    <row r="9" spans="1:11" x14ac:dyDescent="0.2">
      <c r="A9">
        <v>10.19</v>
      </c>
      <c r="B9">
        <v>549</v>
      </c>
    </row>
    <row r="10" spans="1:11" x14ac:dyDescent="0.2">
      <c r="A10">
        <v>9</v>
      </c>
      <c r="B10">
        <v>549</v>
      </c>
    </row>
    <row r="11" spans="1:11" x14ac:dyDescent="0.2">
      <c r="A11">
        <v>8.1</v>
      </c>
      <c r="B11">
        <v>549</v>
      </c>
    </row>
    <row r="12" spans="1:11" x14ac:dyDescent="0.2">
      <c r="A12">
        <v>8.1</v>
      </c>
      <c r="B12">
        <v>549</v>
      </c>
    </row>
    <row r="13" spans="1:11" x14ac:dyDescent="0.2">
      <c r="A13">
        <v>10.5</v>
      </c>
      <c r="B13">
        <v>499</v>
      </c>
    </row>
    <row r="14" spans="1:11" x14ac:dyDescent="0.2">
      <c r="A14">
        <v>4.7</v>
      </c>
      <c r="B14">
        <v>465</v>
      </c>
    </row>
    <row r="15" spans="1:11" x14ac:dyDescent="0.2">
      <c r="A15">
        <v>16.3</v>
      </c>
      <c r="B15">
        <v>450</v>
      </c>
    </row>
    <row r="16" spans="1:11" x14ac:dyDescent="0.2">
      <c r="A16">
        <v>9.4</v>
      </c>
      <c r="B16">
        <v>417</v>
      </c>
    </row>
    <row r="17" spans="1:2" x14ac:dyDescent="0.2">
      <c r="A17">
        <v>12</v>
      </c>
      <c r="B17">
        <v>400</v>
      </c>
    </row>
    <row r="18" spans="1:2" x14ac:dyDescent="0.2">
      <c r="A18">
        <v>6</v>
      </c>
      <c r="B18">
        <v>399</v>
      </c>
    </row>
    <row r="19" spans="1:2" x14ac:dyDescent="0.2">
      <c r="A19">
        <v>10</v>
      </c>
      <c r="B19">
        <v>398</v>
      </c>
    </row>
    <row r="20" spans="1:2" x14ac:dyDescent="0.2">
      <c r="A20">
        <v>5</v>
      </c>
      <c r="B20">
        <v>395</v>
      </c>
    </row>
    <row r="21" spans="1:2" x14ac:dyDescent="0.2">
      <c r="A21">
        <v>0.26</v>
      </c>
      <c r="B21">
        <v>388</v>
      </c>
    </row>
    <row r="22" spans="1:2" x14ac:dyDescent="0.2">
      <c r="A22">
        <v>7.4</v>
      </c>
      <c r="B22">
        <v>380</v>
      </c>
    </row>
    <row r="23" spans="1:2" x14ac:dyDescent="0.2">
      <c r="A23">
        <v>8</v>
      </c>
      <c r="B23">
        <v>369</v>
      </c>
    </row>
    <row r="24" spans="1:2" x14ac:dyDescent="0.2">
      <c r="A24">
        <v>5</v>
      </c>
      <c r="B24">
        <v>329</v>
      </c>
    </row>
    <row r="25" spans="1:2" x14ac:dyDescent="0.2">
      <c r="A25">
        <v>14</v>
      </c>
      <c r="B25">
        <v>300</v>
      </c>
    </row>
    <row r="26" spans="1:2" x14ac:dyDescent="0.2">
      <c r="A26">
        <v>5</v>
      </c>
      <c r="B26">
        <v>300</v>
      </c>
    </row>
    <row r="27" spans="1:2" x14ac:dyDescent="0.2">
      <c r="A27">
        <v>5</v>
      </c>
      <c r="B27">
        <v>300</v>
      </c>
    </row>
    <row r="28" spans="1:2" x14ac:dyDescent="0.2">
      <c r="A28">
        <v>5</v>
      </c>
      <c r="B28">
        <v>300</v>
      </c>
    </row>
    <row r="29" spans="1:2" x14ac:dyDescent="0.2">
      <c r="A29">
        <v>4.37</v>
      </c>
      <c r="B29">
        <v>299</v>
      </c>
    </row>
    <row r="30" spans="1:2" x14ac:dyDescent="0.2">
      <c r="A30">
        <v>4.97</v>
      </c>
      <c r="B30">
        <v>290</v>
      </c>
    </row>
    <row r="31" spans="1:2" x14ac:dyDescent="0.2">
      <c r="A31">
        <v>4.0999999999999996</v>
      </c>
      <c r="B31">
        <v>275</v>
      </c>
    </row>
    <row r="32" spans="1:2" x14ac:dyDescent="0.2">
      <c r="A32">
        <v>7.95</v>
      </c>
      <c r="B32">
        <v>273</v>
      </c>
    </row>
    <row r="33" spans="1:2" x14ac:dyDescent="0.2">
      <c r="A33">
        <v>12</v>
      </c>
      <c r="B33">
        <v>270</v>
      </c>
    </row>
    <row r="34" spans="1:2" x14ac:dyDescent="0.2">
      <c r="A34">
        <v>7.63</v>
      </c>
      <c r="B34">
        <v>262</v>
      </c>
    </row>
    <row r="35" spans="1:2" x14ac:dyDescent="0.2">
      <c r="A35">
        <v>7.5</v>
      </c>
      <c r="B35">
        <v>259</v>
      </c>
    </row>
    <row r="36" spans="1:2" x14ac:dyDescent="0.2">
      <c r="A36">
        <v>4.97</v>
      </c>
      <c r="B36">
        <v>232</v>
      </c>
    </row>
    <row r="37" spans="1:2" x14ac:dyDescent="0.2">
      <c r="A37">
        <v>4.2</v>
      </c>
      <c r="B37">
        <v>217</v>
      </c>
    </row>
    <row r="38" spans="1:2" x14ac:dyDescent="0.2">
      <c r="A38">
        <v>4.0999999999999996</v>
      </c>
      <c r="B38">
        <v>210</v>
      </c>
    </row>
    <row r="39" spans="1:2" x14ac:dyDescent="0.2">
      <c r="A39">
        <v>4.5599999999999996</v>
      </c>
      <c r="B39">
        <v>208</v>
      </c>
    </row>
    <row r="40" spans="1:2" x14ac:dyDescent="0.2">
      <c r="A40">
        <v>4</v>
      </c>
      <c r="B40">
        <v>199</v>
      </c>
    </row>
    <row r="41" spans="1:2" x14ac:dyDescent="0.2">
      <c r="A41">
        <v>5.2</v>
      </c>
      <c r="B41">
        <v>198</v>
      </c>
    </row>
    <row r="42" spans="1:2" x14ac:dyDescent="0.2">
      <c r="A42">
        <v>1.2</v>
      </c>
      <c r="B42">
        <v>198</v>
      </c>
    </row>
    <row r="43" spans="1:2" x14ac:dyDescent="0.2">
      <c r="A43">
        <v>4.4000000000000004</v>
      </c>
      <c r="B43">
        <v>195</v>
      </c>
    </row>
    <row r="44" spans="1:2" x14ac:dyDescent="0.2">
      <c r="A44">
        <v>4.2</v>
      </c>
      <c r="B44">
        <v>190</v>
      </c>
    </row>
    <row r="45" spans="1:2" x14ac:dyDescent="0.2">
      <c r="A45">
        <v>4.2</v>
      </c>
      <c r="B45">
        <v>190</v>
      </c>
    </row>
    <row r="46" spans="1:2" x14ac:dyDescent="0.2">
      <c r="A46">
        <v>0.68500000000000005</v>
      </c>
      <c r="B46">
        <v>190</v>
      </c>
    </row>
    <row r="47" spans="1:2" x14ac:dyDescent="0.2">
      <c r="A47">
        <v>4.2</v>
      </c>
      <c r="B47">
        <v>180</v>
      </c>
    </row>
    <row r="48" spans="1:2" x14ac:dyDescent="0.2">
      <c r="A48">
        <v>1.74</v>
      </c>
      <c r="B48">
        <v>180</v>
      </c>
    </row>
    <row r="49" spans="1:2" x14ac:dyDescent="0.2">
      <c r="A49">
        <v>4.2</v>
      </c>
      <c r="B49">
        <v>173</v>
      </c>
    </row>
    <row r="50" spans="1:2" x14ac:dyDescent="0.2">
      <c r="A50">
        <v>5.14</v>
      </c>
      <c r="B50">
        <v>170</v>
      </c>
    </row>
    <row r="51" spans="1:2" x14ac:dyDescent="0.2">
      <c r="A51">
        <v>3.7</v>
      </c>
      <c r="B51">
        <v>169</v>
      </c>
    </row>
    <row r="52" spans="1:2" x14ac:dyDescent="0.2">
      <c r="A52">
        <v>4.22</v>
      </c>
      <c r="B52">
        <v>165</v>
      </c>
    </row>
    <row r="53" spans="1:2" x14ac:dyDescent="0.2">
      <c r="A53">
        <v>2.9</v>
      </c>
      <c r="B53">
        <v>153</v>
      </c>
    </row>
    <row r="54" spans="1:2" x14ac:dyDescent="0.2">
      <c r="A54">
        <v>8.17</v>
      </c>
      <c r="B54">
        <v>151</v>
      </c>
    </row>
    <row r="55" spans="1:2" x14ac:dyDescent="0.2">
      <c r="A55">
        <v>3.7</v>
      </c>
      <c r="B55">
        <v>143</v>
      </c>
    </row>
    <row r="56" spans="1:2" x14ac:dyDescent="0.2">
      <c r="A56">
        <v>3.85</v>
      </c>
      <c r="B56">
        <v>140</v>
      </c>
    </row>
    <row r="57" spans="1:2" x14ac:dyDescent="0.2">
      <c r="A57">
        <v>2.2999999999999998</v>
      </c>
      <c r="B57">
        <v>140</v>
      </c>
    </row>
    <row r="58" spans="1:2" x14ac:dyDescent="0.2">
      <c r="A58">
        <v>0.67100000000000004</v>
      </c>
      <c r="B58">
        <v>140</v>
      </c>
    </row>
    <row r="59" spans="1:2" x14ac:dyDescent="0.2">
      <c r="A59">
        <v>4.3</v>
      </c>
      <c r="B59">
        <v>137</v>
      </c>
    </row>
    <row r="60" spans="1:2" x14ac:dyDescent="0.2">
      <c r="A60">
        <v>4.72</v>
      </c>
      <c r="B60">
        <v>130</v>
      </c>
    </row>
    <row r="61" spans="1:2" x14ac:dyDescent="0.2">
      <c r="A61">
        <v>3.52</v>
      </c>
      <c r="B61">
        <v>130</v>
      </c>
    </row>
    <row r="62" spans="1:2" x14ac:dyDescent="0.2">
      <c r="A62">
        <v>1.35</v>
      </c>
      <c r="B62">
        <v>130</v>
      </c>
    </row>
    <row r="63" spans="1:2" x14ac:dyDescent="0.2">
      <c r="A63">
        <v>1.35</v>
      </c>
      <c r="B63">
        <v>130</v>
      </c>
    </row>
    <row r="64" spans="1:2" x14ac:dyDescent="0.2">
      <c r="A64">
        <v>3.43</v>
      </c>
      <c r="B64">
        <v>129</v>
      </c>
    </row>
    <row r="65" spans="1:2" x14ac:dyDescent="0.2">
      <c r="A65">
        <v>4</v>
      </c>
      <c r="B65">
        <v>128</v>
      </c>
    </row>
    <row r="66" spans="1:2" x14ac:dyDescent="0.2">
      <c r="A66">
        <v>2.34</v>
      </c>
      <c r="B66">
        <v>128</v>
      </c>
    </row>
    <row r="67" spans="1:2" x14ac:dyDescent="0.2">
      <c r="A67">
        <v>2</v>
      </c>
      <c r="B67">
        <v>125</v>
      </c>
    </row>
    <row r="68" spans="1:2" x14ac:dyDescent="0.2">
      <c r="A68">
        <v>2.61</v>
      </c>
      <c r="B68">
        <v>115.71</v>
      </c>
    </row>
    <row r="69" spans="1:2" x14ac:dyDescent="0.2">
      <c r="A69">
        <v>2.5</v>
      </c>
      <c r="B69">
        <v>115</v>
      </c>
    </row>
    <row r="70" spans="1:2" x14ac:dyDescent="0.2">
      <c r="A70">
        <v>1.31</v>
      </c>
      <c r="B70">
        <v>115</v>
      </c>
    </row>
    <row r="71" spans="1:2" x14ac:dyDescent="0.2">
      <c r="A71">
        <v>1.81</v>
      </c>
      <c r="B71">
        <v>109</v>
      </c>
    </row>
    <row r="72" spans="1:2" x14ac:dyDescent="0.2">
      <c r="A72">
        <v>2.4</v>
      </c>
      <c r="B72">
        <v>105</v>
      </c>
    </row>
    <row r="73" spans="1:2" x14ac:dyDescent="0.2">
      <c r="A73">
        <v>4</v>
      </c>
      <c r="B73">
        <v>100</v>
      </c>
    </row>
    <row r="74" spans="1:2" x14ac:dyDescent="0.2">
      <c r="A74">
        <v>3.9</v>
      </c>
      <c r="B74">
        <v>100</v>
      </c>
    </row>
    <row r="75" spans="1:2" x14ac:dyDescent="0.2">
      <c r="A75">
        <v>3.28</v>
      </c>
      <c r="B75">
        <v>100</v>
      </c>
    </row>
    <row r="76" spans="1:2" x14ac:dyDescent="0.2">
      <c r="A76">
        <v>3.25</v>
      </c>
      <c r="B76">
        <v>100</v>
      </c>
    </row>
    <row r="77" spans="1:2" x14ac:dyDescent="0.2">
      <c r="A77">
        <v>1.31</v>
      </c>
      <c r="B77">
        <v>100</v>
      </c>
    </row>
    <row r="78" spans="1:2" x14ac:dyDescent="0.2">
      <c r="A78">
        <v>4.5</v>
      </c>
      <c r="B78">
        <v>99</v>
      </c>
    </row>
    <row r="79" spans="1:2" x14ac:dyDescent="0.2">
      <c r="A79">
        <v>4.1399999999999997</v>
      </c>
      <c r="B79">
        <v>95</v>
      </c>
    </row>
    <row r="80" spans="1:2" x14ac:dyDescent="0.2">
      <c r="A80">
        <v>2.4</v>
      </c>
      <c r="B80">
        <v>95</v>
      </c>
    </row>
    <row r="81" spans="1:2" x14ac:dyDescent="0.2">
      <c r="A81">
        <v>3.96</v>
      </c>
      <c r="B81">
        <v>94</v>
      </c>
    </row>
    <row r="82" spans="1:2" x14ac:dyDescent="0.2">
      <c r="A82">
        <v>3.87</v>
      </c>
      <c r="B82">
        <v>93</v>
      </c>
    </row>
    <row r="83" spans="1:2" x14ac:dyDescent="0.2">
      <c r="A83">
        <v>3.49</v>
      </c>
      <c r="B83">
        <v>92</v>
      </c>
    </row>
    <row r="84" spans="1:2" x14ac:dyDescent="0.2">
      <c r="A84">
        <v>5.5</v>
      </c>
      <c r="B84">
        <v>90</v>
      </c>
    </row>
    <row r="85" spans="1:2" x14ac:dyDescent="0.2">
      <c r="A85">
        <v>4.42</v>
      </c>
      <c r="B85">
        <v>90</v>
      </c>
    </row>
    <row r="86" spans="1:2" x14ac:dyDescent="0.2">
      <c r="A86">
        <v>3.86</v>
      </c>
      <c r="B86">
        <v>90</v>
      </c>
    </row>
    <row r="87" spans="1:2" x14ac:dyDescent="0.2">
      <c r="A87">
        <v>3.37</v>
      </c>
      <c r="B87">
        <v>90</v>
      </c>
    </row>
    <row r="88" spans="1:2" x14ac:dyDescent="0.2">
      <c r="A88">
        <v>3</v>
      </c>
      <c r="B88">
        <v>90</v>
      </c>
    </row>
    <row r="89" spans="1:2" x14ac:dyDescent="0.2">
      <c r="A89">
        <v>5.04</v>
      </c>
      <c r="B89">
        <v>89</v>
      </c>
    </row>
    <row r="90" spans="1:2" x14ac:dyDescent="0.2">
      <c r="A90">
        <v>3.25</v>
      </c>
      <c r="B90">
        <v>89</v>
      </c>
    </row>
    <row r="91" spans="1:2" x14ac:dyDescent="0.2">
      <c r="A91">
        <v>4.33</v>
      </c>
      <c r="B91">
        <v>88</v>
      </c>
    </row>
    <row r="92" spans="1:2" x14ac:dyDescent="0.2">
      <c r="A92">
        <v>3.5</v>
      </c>
      <c r="B92">
        <v>87</v>
      </c>
    </row>
    <row r="93" spans="1:2" x14ac:dyDescent="0.2">
      <c r="A93">
        <v>3.42</v>
      </c>
      <c r="B93">
        <v>86</v>
      </c>
    </row>
    <row r="94" spans="1:2" x14ac:dyDescent="0.2">
      <c r="A94">
        <v>3.2</v>
      </c>
      <c r="B94">
        <v>86</v>
      </c>
    </row>
    <row r="95" spans="1:2" x14ac:dyDescent="0.2">
      <c r="A95">
        <v>3.8</v>
      </c>
      <c r="B95">
        <v>85</v>
      </c>
    </row>
    <row r="96" spans="1:2" x14ac:dyDescent="0.2">
      <c r="A96">
        <v>4</v>
      </c>
      <c r="B96">
        <v>80</v>
      </c>
    </row>
    <row r="97" spans="1:2" x14ac:dyDescent="0.2">
      <c r="A97">
        <v>2.92</v>
      </c>
      <c r="B97">
        <v>80</v>
      </c>
    </row>
    <row r="98" spans="1:2" x14ac:dyDescent="0.2">
      <c r="A98">
        <v>2</v>
      </c>
      <c r="B98">
        <v>80</v>
      </c>
    </row>
    <row r="99" spans="1:2" x14ac:dyDescent="0.2">
      <c r="A99">
        <v>0.33600000000000002</v>
      </c>
      <c r="B99">
        <v>80</v>
      </c>
    </row>
    <row r="100" spans="1:2" x14ac:dyDescent="0.2">
      <c r="A100">
        <v>4.41</v>
      </c>
      <c r="B100">
        <v>77</v>
      </c>
    </row>
    <row r="101" spans="1:2" x14ac:dyDescent="0.2">
      <c r="A101">
        <v>0.95</v>
      </c>
      <c r="B101">
        <v>66</v>
      </c>
    </row>
    <row r="102" spans="1:2" x14ac:dyDescent="0.2">
      <c r="A102">
        <v>4</v>
      </c>
      <c r="B102">
        <v>60</v>
      </c>
    </row>
    <row r="103" spans="1:2" x14ac:dyDescent="0.2">
      <c r="A103">
        <v>3.4</v>
      </c>
      <c r="B103">
        <v>60</v>
      </c>
    </row>
    <row r="104" spans="1:2" x14ac:dyDescent="0.2">
      <c r="A104">
        <v>0.36299999999999999</v>
      </c>
      <c r="B104">
        <v>55</v>
      </c>
    </row>
    <row r="105" spans="1:2" x14ac:dyDescent="0.2">
      <c r="A105">
        <v>0.28999999999999998</v>
      </c>
      <c r="B105">
        <v>55</v>
      </c>
    </row>
    <row r="106" spans="1:2" x14ac:dyDescent="0.2">
      <c r="A106">
        <v>2</v>
      </c>
      <c r="B106">
        <v>51</v>
      </c>
    </row>
    <row r="107" spans="1:2" x14ac:dyDescent="0.2">
      <c r="A107">
        <v>0.75</v>
      </c>
      <c r="B107">
        <v>50</v>
      </c>
    </row>
    <row r="108" spans="1:2" x14ac:dyDescent="0.2">
      <c r="A108">
        <v>0.36</v>
      </c>
      <c r="B108">
        <v>50</v>
      </c>
    </row>
    <row r="109" spans="1:2" x14ac:dyDescent="0.2">
      <c r="A109">
        <v>0.28999999999999998</v>
      </c>
      <c r="B109">
        <v>50</v>
      </c>
    </row>
    <row r="110" spans="1:2" x14ac:dyDescent="0.2">
      <c r="A110">
        <v>0.85</v>
      </c>
      <c r="B110">
        <v>46</v>
      </c>
    </row>
    <row r="111" spans="1:2" x14ac:dyDescent="0.2">
      <c r="A111">
        <v>4.0999999999999996</v>
      </c>
      <c r="B111">
        <v>44</v>
      </c>
    </row>
    <row r="112" spans="1:2" x14ac:dyDescent="0.2">
      <c r="A112">
        <v>0.8</v>
      </c>
      <c r="B112">
        <v>41</v>
      </c>
    </row>
    <row r="113" spans="1:2" x14ac:dyDescent="0.2">
      <c r="A113">
        <v>2.8</v>
      </c>
      <c r="B113">
        <v>40</v>
      </c>
    </row>
    <row r="114" spans="1:2" x14ac:dyDescent="0.2">
      <c r="A114">
        <v>0.83</v>
      </c>
      <c r="B114">
        <v>40</v>
      </c>
    </row>
    <row r="115" spans="1:2" x14ac:dyDescent="0.2">
      <c r="A115">
        <v>0.68</v>
      </c>
      <c r="B115">
        <v>40</v>
      </c>
    </row>
    <row r="116" spans="1:2" x14ac:dyDescent="0.2">
      <c r="A116">
        <v>0.6</v>
      </c>
      <c r="B116">
        <v>40</v>
      </c>
    </row>
    <row r="117" spans="1:2" x14ac:dyDescent="0.2">
      <c r="A117">
        <v>0.52</v>
      </c>
      <c r="B117">
        <v>40</v>
      </c>
    </row>
    <row r="118" spans="1:2" x14ac:dyDescent="0.2">
      <c r="A118">
        <v>0.52</v>
      </c>
      <c r="B118">
        <v>40</v>
      </c>
    </row>
    <row r="119" spans="1:2" x14ac:dyDescent="0.2">
      <c r="A119">
        <v>2.8</v>
      </c>
      <c r="B119">
        <v>39</v>
      </c>
    </row>
    <row r="120" spans="1:2" x14ac:dyDescent="0.2">
      <c r="A120">
        <v>0.89900000000000002</v>
      </c>
      <c r="B120">
        <v>38</v>
      </c>
    </row>
    <row r="121" spans="1:2" x14ac:dyDescent="0.2">
      <c r="A121">
        <v>0.83</v>
      </c>
      <c r="B121">
        <v>38</v>
      </c>
    </row>
    <row r="122" spans="1:2" x14ac:dyDescent="0.2">
      <c r="A122">
        <v>0.8</v>
      </c>
      <c r="B122">
        <v>37</v>
      </c>
    </row>
    <row r="123" spans="1:2" x14ac:dyDescent="0.2">
      <c r="A123">
        <v>1.5</v>
      </c>
      <c r="B123">
        <v>30</v>
      </c>
    </row>
    <row r="124" spans="1:2" x14ac:dyDescent="0.2">
      <c r="A124">
        <v>0.79</v>
      </c>
      <c r="B124">
        <v>22</v>
      </c>
    </row>
    <row r="125" spans="1:2" x14ac:dyDescent="0.2">
      <c r="A125">
        <v>0.56000000000000005</v>
      </c>
      <c r="B125">
        <v>15</v>
      </c>
    </row>
    <row r="126" spans="1:2" x14ac:dyDescent="0.2">
      <c r="A126">
        <v>0.55000000000000004</v>
      </c>
      <c r="B126">
        <v>13</v>
      </c>
    </row>
  </sheetData>
  <sortState xmlns:xlrd2="http://schemas.microsoft.com/office/spreadsheetml/2017/richdata2" ref="A2:B126">
    <sortCondition descending="1" ref="B2:B126"/>
  </sortState>
  <mergeCells count="1">
    <mergeCell ref="E1:K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C412-004B-294F-A913-790E42254347}">
  <dimension ref="A1:F99"/>
  <sheetViews>
    <sheetView workbookViewId="0">
      <selection activeCell="C99" sqref="C99"/>
    </sheetView>
  </sheetViews>
  <sheetFormatPr baseColWidth="10" defaultRowHeight="15" x14ac:dyDescent="0.2"/>
  <cols>
    <col min="1" max="1" width="14" bestFit="1" customWidth="1"/>
    <col min="2" max="2" width="21" bestFit="1" customWidth="1"/>
    <col min="3" max="3" width="13.6640625" bestFit="1" customWidth="1"/>
    <col min="5" max="5" width="14.6640625" bestFit="1" customWidth="1"/>
    <col min="6" max="6" width="12.1640625" bestFit="1" customWidth="1"/>
  </cols>
  <sheetData>
    <row r="1" spans="1:6" x14ac:dyDescent="0.2">
      <c r="A1" s="12" t="s">
        <v>1072</v>
      </c>
      <c r="B1" s="12" t="s">
        <v>1081</v>
      </c>
      <c r="C1" s="12" t="s">
        <v>1080</v>
      </c>
      <c r="E1" t="s">
        <v>1079</v>
      </c>
      <c r="F1">
        <f>(F3/F4)*100</f>
        <v>75.277494841860573</v>
      </c>
    </row>
    <row r="2" spans="1:6" x14ac:dyDescent="0.2">
      <c r="A2">
        <v>34.368552325733233</v>
      </c>
    </row>
    <row r="3" spans="1:6" x14ac:dyDescent="0.2">
      <c r="A3">
        <v>20.413499960824257</v>
      </c>
      <c r="B3">
        <f>A2+A4</f>
        <v>43.060343701846477</v>
      </c>
      <c r="C3">
        <f>B3^2</f>
        <v>1854.1931997211495</v>
      </c>
      <c r="E3" t="s">
        <v>1075</v>
      </c>
      <c r="F3">
        <f>SUM(B3:B6)</f>
        <v>75.277494841860573</v>
      </c>
    </row>
    <row r="4" spans="1:6" x14ac:dyDescent="0.2">
      <c r="A4">
        <v>8.6917913761132439</v>
      </c>
      <c r="B4">
        <f>A3</f>
        <v>20.413499960824257</v>
      </c>
      <c r="C4">
        <f t="shared" ref="C4:C67" si="0">B4^2</f>
        <v>416.71098065057197</v>
      </c>
      <c r="E4" t="s">
        <v>1076</v>
      </c>
      <c r="F4">
        <v>100</v>
      </c>
    </row>
    <row r="5" spans="1:6" x14ac:dyDescent="0.2">
      <c r="A5">
        <v>6.729739611898979</v>
      </c>
      <c r="B5">
        <f>A5</f>
        <v>6.729739611898979</v>
      </c>
      <c r="C5">
        <f t="shared" si="0"/>
        <v>45.289395243962218</v>
      </c>
    </row>
    <row r="6" spans="1:6" x14ac:dyDescent="0.2">
      <c r="A6">
        <v>5.0739115672908666</v>
      </c>
      <c r="B6">
        <f t="shared" ref="B6:B69" si="1">A6</f>
        <v>5.0739115672908666</v>
      </c>
      <c r="C6">
        <f t="shared" si="0"/>
        <v>25.744578592688057</v>
      </c>
    </row>
    <row r="7" spans="1:6" x14ac:dyDescent="0.2">
      <c r="A7">
        <v>4.38180678523858</v>
      </c>
      <c r="B7">
        <f t="shared" si="1"/>
        <v>4.38180678523858</v>
      </c>
      <c r="C7">
        <f t="shared" si="0"/>
        <v>19.200230703162859</v>
      </c>
    </row>
    <row r="8" spans="1:6" x14ac:dyDescent="0.2">
      <c r="A8">
        <v>2.0599911201650603</v>
      </c>
      <c r="B8">
        <f t="shared" si="1"/>
        <v>2.0599911201650603</v>
      </c>
      <c r="C8">
        <f t="shared" si="0"/>
        <v>4.2435634151589001</v>
      </c>
    </row>
    <row r="9" spans="1:6" x14ac:dyDescent="0.2">
      <c r="A9">
        <v>1.7939225364987332</v>
      </c>
      <c r="B9">
        <f t="shared" si="1"/>
        <v>1.7939225364987332</v>
      </c>
      <c r="C9">
        <f t="shared" si="0"/>
        <v>3.2181580669580487</v>
      </c>
    </row>
    <row r="10" spans="1:6" x14ac:dyDescent="0.2">
      <c r="A10">
        <v>1.6930449998694141</v>
      </c>
      <c r="B10">
        <f t="shared" si="1"/>
        <v>1.6930449998694141</v>
      </c>
      <c r="C10">
        <f t="shared" si="0"/>
        <v>2.8664013715828247</v>
      </c>
    </row>
    <row r="11" spans="1:6" x14ac:dyDescent="0.2">
      <c r="A11">
        <v>1.5448301078638773</v>
      </c>
      <c r="B11">
        <f t="shared" si="1"/>
        <v>1.5448301078638773</v>
      </c>
      <c r="C11">
        <f t="shared" si="0"/>
        <v>2.3865000621627188</v>
      </c>
    </row>
    <row r="12" spans="1:6" x14ac:dyDescent="0.2">
      <c r="A12">
        <v>1.1742928778500352</v>
      </c>
      <c r="B12">
        <f t="shared" si="1"/>
        <v>1.1742928778500352</v>
      </c>
      <c r="C12">
        <f t="shared" si="0"/>
        <v>1.3789637629693177</v>
      </c>
    </row>
    <row r="13" spans="1:6" x14ac:dyDescent="0.2">
      <c r="A13">
        <v>1.1537256131003684</v>
      </c>
      <c r="B13">
        <f t="shared" si="1"/>
        <v>1.1537256131003684</v>
      </c>
      <c r="C13">
        <f t="shared" si="0"/>
        <v>1.3310827903238209</v>
      </c>
    </row>
    <row r="14" spans="1:6" x14ac:dyDescent="0.2">
      <c r="A14">
        <v>1.1086735093630025</v>
      </c>
      <c r="B14">
        <f t="shared" si="1"/>
        <v>1.1086735093630025</v>
      </c>
      <c r="C14">
        <f t="shared" si="0"/>
        <v>1.2291569503632755</v>
      </c>
    </row>
    <row r="15" spans="1:6" x14ac:dyDescent="0.2">
      <c r="A15">
        <v>1.054153934550393</v>
      </c>
      <c r="B15">
        <f t="shared" si="1"/>
        <v>1.054153934550393</v>
      </c>
      <c r="C15">
        <f t="shared" si="0"/>
        <v>1.1112405177280742</v>
      </c>
    </row>
    <row r="16" spans="1:6" x14ac:dyDescent="0.2">
      <c r="A16">
        <v>0.83901381597847946</v>
      </c>
      <c r="B16">
        <f t="shared" si="1"/>
        <v>0.83901381597847946</v>
      </c>
      <c r="C16">
        <f t="shared" si="0"/>
        <v>0.70394418340276976</v>
      </c>
    </row>
    <row r="17" spans="1:3" x14ac:dyDescent="0.2">
      <c r="A17">
        <v>0.82856695134372793</v>
      </c>
      <c r="B17">
        <f t="shared" si="1"/>
        <v>0.82856695134372793</v>
      </c>
      <c r="C17">
        <f t="shared" si="0"/>
        <v>0.68652319285903962</v>
      </c>
    </row>
    <row r="18" spans="1:3" x14ac:dyDescent="0.2">
      <c r="A18">
        <v>0.78906474444357388</v>
      </c>
      <c r="B18">
        <f t="shared" si="1"/>
        <v>0.78906474444357388</v>
      </c>
      <c r="C18">
        <f t="shared" si="0"/>
        <v>0.62262317092380259</v>
      </c>
    </row>
    <row r="19" spans="1:3" x14ac:dyDescent="0.2">
      <c r="A19">
        <v>0.62485309096607378</v>
      </c>
      <c r="B19">
        <f t="shared" si="1"/>
        <v>0.62485309096607378</v>
      </c>
      <c r="C19">
        <f t="shared" si="0"/>
        <v>0.39044138528985645</v>
      </c>
    </row>
    <row r="20" spans="1:3" x14ac:dyDescent="0.2">
      <c r="A20">
        <v>0.54780746428478155</v>
      </c>
      <c r="B20">
        <f t="shared" si="1"/>
        <v>0.54780746428478155</v>
      </c>
      <c r="C20">
        <f t="shared" si="0"/>
        <v>0.3000930179261222</v>
      </c>
    </row>
    <row r="21" spans="1:3" x14ac:dyDescent="0.2">
      <c r="A21">
        <v>0.52919898665413045</v>
      </c>
      <c r="B21">
        <f t="shared" si="1"/>
        <v>0.52919898665413045</v>
      </c>
      <c r="C21">
        <f t="shared" si="0"/>
        <v>0.28005156747575854</v>
      </c>
    </row>
    <row r="22" spans="1:3" x14ac:dyDescent="0.2">
      <c r="A22">
        <v>0.43713599206038284</v>
      </c>
      <c r="B22">
        <f t="shared" si="1"/>
        <v>0.43713599206038284</v>
      </c>
      <c r="C22">
        <f t="shared" si="0"/>
        <v>0.19108787555461509</v>
      </c>
    </row>
    <row r="23" spans="1:3" x14ac:dyDescent="0.2">
      <c r="A23">
        <v>0.4146099401917</v>
      </c>
      <c r="B23">
        <f t="shared" si="1"/>
        <v>0.4146099401917</v>
      </c>
      <c r="C23">
        <f t="shared" si="0"/>
        <v>0.17190140250576505</v>
      </c>
    </row>
    <row r="24" spans="1:3" x14ac:dyDescent="0.2">
      <c r="A24">
        <v>0.39175742380318107</v>
      </c>
      <c r="B24">
        <f t="shared" si="1"/>
        <v>0.39175742380318107</v>
      </c>
      <c r="C24">
        <f t="shared" si="0"/>
        <v>0.15347387910490523</v>
      </c>
    </row>
    <row r="25" spans="1:3" x14ac:dyDescent="0.2">
      <c r="A25">
        <v>0.37902530752957769</v>
      </c>
      <c r="B25">
        <f t="shared" si="1"/>
        <v>0.37902530752957769</v>
      </c>
      <c r="C25">
        <f t="shared" si="0"/>
        <v>0.14366018374789094</v>
      </c>
    </row>
    <row r="26" spans="1:3" x14ac:dyDescent="0.2">
      <c r="A26">
        <v>0.3231998746376244</v>
      </c>
      <c r="B26">
        <f t="shared" si="1"/>
        <v>0.3231998746376244</v>
      </c>
      <c r="C26">
        <f t="shared" si="0"/>
        <v>0.10445815896577612</v>
      </c>
    </row>
    <row r="27" spans="1:3" x14ac:dyDescent="0.2">
      <c r="A27">
        <v>0.28990049361435399</v>
      </c>
      <c r="B27">
        <f t="shared" si="1"/>
        <v>0.28990049361435399</v>
      </c>
      <c r="C27">
        <f t="shared" si="0"/>
        <v>8.4042296197846103E-2</v>
      </c>
    </row>
    <row r="28" spans="1:3" x14ac:dyDescent="0.2">
      <c r="A28">
        <v>0.23962495755961241</v>
      </c>
      <c r="B28">
        <f t="shared" si="1"/>
        <v>0.23962495755961241</v>
      </c>
      <c r="C28">
        <f t="shared" si="0"/>
        <v>5.7420120285446047E-2</v>
      </c>
    </row>
    <row r="29" spans="1:3" x14ac:dyDescent="0.2">
      <c r="A29">
        <v>0.21024315077437383</v>
      </c>
      <c r="B29">
        <f t="shared" si="1"/>
        <v>0.21024315077437383</v>
      </c>
      <c r="C29">
        <f t="shared" si="0"/>
        <v>4.4202182447536091E-2</v>
      </c>
    </row>
    <row r="30" spans="1:3" x14ac:dyDescent="0.2">
      <c r="A30">
        <v>0.15931468567996029</v>
      </c>
      <c r="B30">
        <f t="shared" si="1"/>
        <v>0.15931468567996029</v>
      </c>
      <c r="C30">
        <f t="shared" si="0"/>
        <v>2.5381169073304545E-2</v>
      </c>
    </row>
    <row r="31" spans="1:3" x14ac:dyDescent="0.2">
      <c r="A31">
        <v>0.13809449189062134</v>
      </c>
      <c r="B31">
        <f t="shared" si="1"/>
        <v>0.13809449189062134</v>
      </c>
      <c r="C31">
        <f t="shared" si="0"/>
        <v>1.9070088690528883E-2</v>
      </c>
    </row>
    <row r="32" spans="1:3" x14ac:dyDescent="0.2">
      <c r="A32">
        <v>0.12764762725586984</v>
      </c>
      <c r="B32">
        <f t="shared" si="1"/>
        <v>0.12764762725586984</v>
      </c>
      <c r="C32">
        <f t="shared" si="0"/>
        <v>1.6293916744053484E-2</v>
      </c>
    </row>
    <row r="33" spans="1:3" x14ac:dyDescent="0.2">
      <c r="A33">
        <v>0.12340358849800204</v>
      </c>
      <c r="B33">
        <f t="shared" si="1"/>
        <v>0.12340358849800204</v>
      </c>
      <c r="C33">
        <f t="shared" si="0"/>
        <v>1.5228445654184221E-2</v>
      </c>
    </row>
    <row r="34" spans="1:3" x14ac:dyDescent="0.2">
      <c r="A34">
        <v>0.12079187233931417</v>
      </c>
      <c r="B34">
        <f t="shared" si="1"/>
        <v>0.12079187233931417</v>
      </c>
      <c r="C34">
        <f t="shared" si="0"/>
        <v>1.4590676423237171E-2</v>
      </c>
    </row>
    <row r="35" spans="1:3" x14ac:dyDescent="0.2">
      <c r="A35">
        <v>0.10153046566899109</v>
      </c>
      <c r="B35">
        <f t="shared" si="1"/>
        <v>0.10153046566899109</v>
      </c>
      <c r="C35">
        <f t="shared" si="0"/>
        <v>1.0308435458962177E-2</v>
      </c>
    </row>
    <row r="36" spans="1:3" x14ac:dyDescent="0.2">
      <c r="A36">
        <v>8.6513097756535817E-2</v>
      </c>
      <c r="B36">
        <f t="shared" si="1"/>
        <v>8.6513097756535817E-2</v>
      </c>
      <c r="C36">
        <f t="shared" si="0"/>
        <v>7.4845160834319229E-3</v>
      </c>
    </row>
    <row r="37" spans="1:3" x14ac:dyDescent="0.2">
      <c r="A37">
        <v>7.7372091201128257E-2</v>
      </c>
      <c r="B37">
        <f t="shared" si="1"/>
        <v>7.7372091201128257E-2</v>
      </c>
      <c r="C37">
        <f t="shared" si="0"/>
        <v>5.9864404968357088E-3</v>
      </c>
    </row>
    <row r="38" spans="1:3" x14ac:dyDescent="0.2">
      <c r="A38">
        <v>6.986340724490063E-2</v>
      </c>
      <c r="B38">
        <f t="shared" si="1"/>
        <v>6.986340724490063E-2</v>
      </c>
      <c r="C38">
        <f t="shared" si="0"/>
        <v>4.8808956718668335E-3</v>
      </c>
    </row>
    <row r="39" spans="1:3" x14ac:dyDescent="0.2">
      <c r="A39">
        <v>6.6272297526704799E-2</v>
      </c>
      <c r="B39">
        <f t="shared" si="1"/>
        <v>6.6272297526704799E-2</v>
      </c>
      <c r="C39">
        <f t="shared" si="0"/>
        <v>4.3920174194680833E-3</v>
      </c>
    </row>
    <row r="40" spans="1:3" x14ac:dyDescent="0.2">
      <c r="A40">
        <v>6.5945833006868806E-2</v>
      </c>
      <c r="B40">
        <f t="shared" si="1"/>
        <v>6.5945833006868806E-2</v>
      </c>
      <c r="C40">
        <f t="shared" si="0"/>
        <v>4.3488528909698277E-3</v>
      </c>
    </row>
    <row r="41" spans="1:3" x14ac:dyDescent="0.2">
      <c r="A41">
        <v>6.4639974927524879E-2</v>
      </c>
      <c r="B41">
        <f t="shared" si="1"/>
        <v>6.4639974927524879E-2</v>
      </c>
      <c r="C41">
        <f t="shared" si="0"/>
        <v>4.1783263586310454E-3</v>
      </c>
    </row>
    <row r="42" spans="1:3" x14ac:dyDescent="0.2">
      <c r="A42">
        <v>6.2028258768837011E-2</v>
      </c>
      <c r="B42">
        <f t="shared" si="1"/>
        <v>6.2028258768837011E-2</v>
      </c>
      <c r="C42">
        <f t="shared" si="0"/>
        <v>3.8475048858938057E-3</v>
      </c>
    </row>
    <row r="43" spans="1:3" x14ac:dyDescent="0.2">
      <c r="A43">
        <v>4.8643213455561649E-2</v>
      </c>
      <c r="B43">
        <f t="shared" si="1"/>
        <v>4.8643213455561649E-2</v>
      </c>
      <c r="C43">
        <f t="shared" si="0"/>
        <v>2.3661622152833339E-3</v>
      </c>
    </row>
    <row r="44" spans="1:3" x14ac:dyDescent="0.2">
      <c r="A44">
        <v>4.3419781138185905E-2</v>
      </c>
      <c r="B44">
        <f t="shared" si="1"/>
        <v>4.3419781138185905E-2</v>
      </c>
      <c r="C44">
        <f t="shared" si="0"/>
        <v>1.8852773940879644E-3</v>
      </c>
    </row>
    <row r="45" spans="1:3" x14ac:dyDescent="0.2">
      <c r="A45">
        <v>4.1787458539005985E-2</v>
      </c>
      <c r="B45">
        <f t="shared" si="1"/>
        <v>4.1787458539005985E-2</v>
      </c>
      <c r="C45">
        <f t="shared" si="0"/>
        <v>1.7461916911491442E-3</v>
      </c>
    </row>
    <row r="46" spans="1:3" x14ac:dyDescent="0.2">
      <c r="A46">
        <v>4.0481600459662044E-2</v>
      </c>
      <c r="B46">
        <f t="shared" si="1"/>
        <v>4.0481600459662044E-2</v>
      </c>
      <c r="C46">
        <f t="shared" si="0"/>
        <v>1.6387599757757103E-3</v>
      </c>
    </row>
    <row r="47" spans="1:3" x14ac:dyDescent="0.2">
      <c r="A47">
        <v>3.7869884300974176E-2</v>
      </c>
      <c r="B47">
        <f t="shared" si="1"/>
        <v>3.7869884300974176E-2</v>
      </c>
      <c r="C47">
        <f t="shared" si="0"/>
        <v>1.4341281369691704E-3</v>
      </c>
    </row>
    <row r="48" spans="1:3" x14ac:dyDescent="0.2">
      <c r="A48">
        <v>3.3625845543106374E-2</v>
      </c>
      <c r="B48">
        <f t="shared" si="1"/>
        <v>3.3625845543106374E-2</v>
      </c>
      <c r="C48">
        <f t="shared" si="0"/>
        <v>1.1306974884888468E-3</v>
      </c>
    </row>
    <row r="49" spans="1:3" x14ac:dyDescent="0.2">
      <c r="A49">
        <v>3.2972916503434403E-2</v>
      </c>
      <c r="B49">
        <f t="shared" si="1"/>
        <v>3.2972916503434403E-2</v>
      </c>
      <c r="C49">
        <f t="shared" si="0"/>
        <v>1.0872132227424569E-3</v>
      </c>
    </row>
    <row r="50" spans="1:3" x14ac:dyDescent="0.2">
      <c r="A50">
        <v>2.8402413225730627E-2</v>
      </c>
      <c r="B50">
        <f t="shared" si="1"/>
        <v>2.8402413225730627E-2</v>
      </c>
      <c r="C50">
        <f t="shared" si="0"/>
        <v>8.0669707704515801E-4</v>
      </c>
    </row>
    <row r="51" spans="1:3" x14ac:dyDescent="0.2">
      <c r="A51">
        <v>2.7423019666222674E-2</v>
      </c>
      <c r="B51">
        <f t="shared" si="1"/>
        <v>2.7423019666222674E-2</v>
      </c>
      <c r="C51">
        <f t="shared" si="0"/>
        <v>7.5202200761403557E-4</v>
      </c>
    </row>
    <row r="52" spans="1:3" x14ac:dyDescent="0.2">
      <c r="A52">
        <v>2.3831909948026846E-2</v>
      </c>
      <c r="B52">
        <f t="shared" si="1"/>
        <v>2.3831909948026846E-2</v>
      </c>
      <c r="C52">
        <f t="shared" si="0"/>
        <v>5.6795993177086092E-4</v>
      </c>
    </row>
    <row r="53" spans="1:3" x14ac:dyDescent="0.2">
      <c r="A53">
        <v>2.2526051868682912E-2</v>
      </c>
      <c r="B53">
        <f t="shared" si="1"/>
        <v>2.2526051868682912E-2</v>
      </c>
      <c r="C53">
        <f t="shared" si="0"/>
        <v>5.0742301279059292E-4</v>
      </c>
    </row>
    <row r="54" spans="1:3" x14ac:dyDescent="0.2">
      <c r="A54">
        <v>2.0893729269502993E-2</v>
      </c>
      <c r="B54">
        <f t="shared" si="1"/>
        <v>2.0893729269502993E-2</v>
      </c>
      <c r="C54">
        <f t="shared" si="0"/>
        <v>4.3654792278728606E-4</v>
      </c>
    </row>
    <row r="55" spans="1:3" x14ac:dyDescent="0.2">
      <c r="A55">
        <v>2.0567264749667004E-2</v>
      </c>
      <c r="B55">
        <f t="shared" si="1"/>
        <v>2.0567264749667004E-2</v>
      </c>
      <c r="C55">
        <f t="shared" si="0"/>
        <v>4.2301237928289492E-4</v>
      </c>
    </row>
    <row r="56" spans="1:3" x14ac:dyDescent="0.2">
      <c r="A56">
        <v>1.8282013110815117E-2</v>
      </c>
      <c r="B56">
        <f t="shared" si="1"/>
        <v>1.8282013110815117E-2</v>
      </c>
      <c r="C56">
        <f t="shared" si="0"/>
        <v>3.3423200338401584E-4</v>
      </c>
    </row>
    <row r="57" spans="1:3" x14ac:dyDescent="0.2">
      <c r="A57">
        <v>1.697615503147118E-2</v>
      </c>
      <c r="B57">
        <f t="shared" si="1"/>
        <v>1.697615503147118E-2</v>
      </c>
      <c r="C57">
        <f t="shared" si="0"/>
        <v>2.8818983965254422E-4</v>
      </c>
    </row>
    <row r="58" spans="1:3" x14ac:dyDescent="0.2">
      <c r="A58">
        <v>1.6649690511635194E-2</v>
      </c>
      <c r="B58">
        <f t="shared" si="1"/>
        <v>1.6649690511635194E-2</v>
      </c>
      <c r="C58">
        <f t="shared" si="0"/>
        <v>2.7721219413323503E-4</v>
      </c>
    </row>
    <row r="59" spans="1:3" x14ac:dyDescent="0.2">
      <c r="A59">
        <v>1.6649690511635194E-2</v>
      </c>
      <c r="B59">
        <f t="shared" si="1"/>
        <v>1.6649690511635194E-2</v>
      </c>
      <c r="C59">
        <f t="shared" si="0"/>
        <v>2.7721219413323503E-4</v>
      </c>
    </row>
    <row r="60" spans="1:3" x14ac:dyDescent="0.2">
      <c r="A60">
        <v>1.6323225991799209E-2</v>
      </c>
      <c r="B60">
        <f t="shared" si="1"/>
        <v>1.6323225991799209E-2</v>
      </c>
      <c r="C60">
        <f t="shared" si="0"/>
        <v>2.6644770677934924E-4</v>
      </c>
    </row>
    <row r="61" spans="1:3" x14ac:dyDescent="0.2">
      <c r="A61">
        <v>1.4364438872783306E-2</v>
      </c>
      <c r="B61">
        <f t="shared" si="1"/>
        <v>1.4364438872783306E-2</v>
      </c>
      <c r="C61">
        <f t="shared" si="0"/>
        <v>2.0633710412992814E-4</v>
      </c>
    </row>
    <row r="62" spans="1:3" x14ac:dyDescent="0.2">
      <c r="A62">
        <v>1.1099793674423463E-2</v>
      </c>
      <c r="B62">
        <f t="shared" si="1"/>
        <v>1.1099793674423463E-2</v>
      </c>
      <c r="C62">
        <f t="shared" si="0"/>
        <v>1.2320541961477114E-4</v>
      </c>
    </row>
    <row r="63" spans="1:3" x14ac:dyDescent="0.2">
      <c r="A63">
        <v>1.0446864634751496E-2</v>
      </c>
      <c r="B63">
        <f t="shared" si="1"/>
        <v>1.0446864634751496E-2</v>
      </c>
      <c r="C63">
        <f t="shared" si="0"/>
        <v>1.0913698069682151E-4</v>
      </c>
    </row>
    <row r="64" spans="1:3" x14ac:dyDescent="0.2">
      <c r="A64">
        <v>1.0446864634751496E-2</v>
      </c>
      <c r="B64">
        <f t="shared" si="1"/>
        <v>1.0446864634751496E-2</v>
      </c>
      <c r="C64">
        <f t="shared" si="0"/>
        <v>1.0913698069682151E-4</v>
      </c>
    </row>
    <row r="65" spans="1:3" x14ac:dyDescent="0.2">
      <c r="A65">
        <v>1.0446864634751496E-2</v>
      </c>
      <c r="B65">
        <f t="shared" si="1"/>
        <v>1.0446864634751496E-2</v>
      </c>
      <c r="C65">
        <f t="shared" si="0"/>
        <v>1.0913698069682151E-4</v>
      </c>
    </row>
    <row r="66" spans="1:3" x14ac:dyDescent="0.2">
      <c r="A66">
        <v>9.4674710752435439E-3</v>
      </c>
      <c r="B66">
        <f t="shared" si="1"/>
        <v>9.4674710752435439E-3</v>
      </c>
      <c r="C66">
        <f t="shared" si="0"/>
        <v>8.9633008560573149E-5</v>
      </c>
    </row>
    <row r="67" spans="1:3" x14ac:dyDescent="0.2">
      <c r="A67">
        <v>9.1410065554075586E-3</v>
      </c>
      <c r="B67">
        <f t="shared" si="1"/>
        <v>9.1410065554075586E-3</v>
      </c>
      <c r="C67">
        <f t="shared" si="0"/>
        <v>8.355800084600396E-5</v>
      </c>
    </row>
    <row r="68" spans="1:3" x14ac:dyDescent="0.2">
      <c r="A68">
        <v>7.8351484760636209E-3</v>
      </c>
      <c r="B68">
        <f t="shared" si="1"/>
        <v>7.8351484760636209E-3</v>
      </c>
      <c r="C68">
        <f t="shared" ref="C68:C98" si="2">B68^2</f>
        <v>6.1389551641962081E-5</v>
      </c>
    </row>
    <row r="69" spans="1:3" x14ac:dyDescent="0.2">
      <c r="A69">
        <v>6.5292903967196841E-3</v>
      </c>
      <c r="B69">
        <f t="shared" si="1"/>
        <v>6.5292903967196841E-3</v>
      </c>
      <c r="C69">
        <f t="shared" si="2"/>
        <v>4.2631633084695892E-5</v>
      </c>
    </row>
    <row r="70" spans="1:3" x14ac:dyDescent="0.2">
      <c r="A70">
        <v>6.2028258768837006E-3</v>
      </c>
      <c r="B70">
        <f t="shared" ref="B70:B98" si="3">A70</f>
        <v>6.2028258768837006E-3</v>
      </c>
      <c r="C70">
        <f t="shared" si="2"/>
        <v>3.8475048858938048E-5</v>
      </c>
    </row>
    <row r="71" spans="1:3" x14ac:dyDescent="0.2">
      <c r="A71">
        <v>5.2234323173757482E-3</v>
      </c>
      <c r="B71">
        <f t="shared" si="3"/>
        <v>5.2234323173757482E-3</v>
      </c>
      <c r="C71">
        <f t="shared" si="2"/>
        <v>2.7284245174205379E-5</v>
      </c>
    </row>
    <row r="72" spans="1:3" x14ac:dyDescent="0.2">
      <c r="A72">
        <v>4.5705032777037793E-3</v>
      </c>
      <c r="B72">
        <f t="shared" si="3"/>
        <v>4.5705032777037793E-3</v>
      </c>
      <c r="C72">
        <f t="shared" si="2"/>
        <v>2.088950021150099E-5</v>
      </c>
    </row>
    <row r="73" spans="1:3" x14ac:dyDescent="0.2">
      <c r="A73">
        <v>3.9175742380318105E-3</v>
      </c>
      <c r="B73">
        <f t="shared" si="3"/>
        <v>3.9175742380318105E-3</v>
      </c>
      <c r="C73">
        <f t="shared" si="2"/>
        <v>1.534738791049052E-5</v>
      </c>
    </row>
    <row r="74" spans="1:3" x14ac:dyDescent="0.2">
      <c r="A74">
        <v>3.2646451983598421E-3</v>
      </c>
      <c r="B74">
        <f t="shared" si="3"/>
        <v>3.2646451983598421E-3</v>
      </c>
      <c r="C74">
        <f t="shared" si="2"/>
        <v>1.0657908271173973E-5</v>
      </c>
    </row>
    <row r="75" spans="1:3" x14ac:dyDescent="0.2">
      <c r="A75">
        <v>2.9381806785238581E-3</v>
      </c>
      <c r="B75">
        <f t="shared" si="3"/>
        <v>2.9381806785238581E-3</v>
      </c>
      <c r="C75">
        <f t="shared" si="2"/>
        <v>8.632905699650919E-6</v>
      </c>
    </row>
    <row r="76" spans="1:3" x14ac:dyDescent="0.2">
      <c r="A76">
        <v>2.9381806785238581E-3</v>
      </c>
      <c r="B76">
        <f t="shared" si="3"/>
        <v>2.9381806785238581E-3</v>
      </c>
      <c r="C76">
        <f t="shared" si="2"/>
        <v>8.632905699650919E-6</v>
      </c>
    </row>
    <row r="77" spans="1:3" x14ac:dyDescent="0.2">
      <c r="A77">
        <v>2.9381806785238581E-3</v>
      </c>
      <c r="B77">
        <f t="shared" si="3"/>
        <v>2.9381806785238581E-3</v>
      </c>
      <c r="C77">
        <f t="shared" si="2"/>
        <v>8.632905699650919E-6</v>
      </c>
    </row>
    <row r="78" spans="1:3" x14ac:dyDescent="0.2">
      <c r="A78">
        <v>2.6117161586878741E-3</v>
      </c>
      <c r="B78">
        <f t="shared" si="3"/>
        <v>2.6117161586878741E-3</v>
      </c>
      <c r="C78">
        <f t="shared" si="2"/>
        <v>6.8210612935513446E-6</v>
      </c>
    </row>
    <row r="79" spans="1:3" x14ac:dyDescent="0.2">
      <c r="A79">
        <v>2.6117161586878741E-3</v>
      </c>
      <c r="B79">
        <f t="shared" si="3"/>
        <v>2.6117161586878741E-3</v>
      </c>
      <c r="C79">
        <f t="shared" si="2"/>
        <v>6.8210612935513446E-6</v>
      </c>
    </row>
    <row r="80" spans="1:3" x14ac:dyDescent="0.2">
      <c r="A80">
        <v>2.2852516388518897E-3</v>
      </c>
      <c r="B80">
        <f t="shared" si="3"/>
        <v>2.2852516388518897E-3</v>
      </c>
      <c r="C80">
        <f t="shared" si="2"/>
        <v>5.2223750528752475E-6</v>
      </c>
    </row>
    <row r="81" spans="1:3" x14ac:dyDescent="0.2">
      <c r="A81">
        <v>1.632322599179921E-3</v>
      </c>
      <c r="B81">
        <f t="shared" si="3"/>
        <v>1.632322599179921E-3</v>
      </c>
      <c r="C81">
        <f t="shared" si="2"/>
        <v>2.6644770677934933E-6</v>
      </c>
    </row>
    <row r="82" spans="1:3" x14ac:dyDescent="0.2">
      <c r="A82">
        <v>1.632322599179921E-3</v>
      </c>
      <c r="B82">
        <f t="shared" si="3"/>
        <v>1.632322599179921E-3</v>
      </c>
      <c r="C82">
        <f t="shared" si="2"/>
        <v>2.6644770677934933E-6</v>
      </c>
    </row>
    <row r="83" spans="1:3" x14ac:dyDescent="0.2">
      <c r="A83">
        <v>1.632322599179921E-3</v>
      </c>
      <c r="B83">
        <f t="shared" si="3"/>
        <v>1.632322599179921E-3</v>
      </c>
      <c r="C83">
        <f t="shared" si="2"/>
        <v>2.6644770677934933E-6</v>
      </c>
    </row>
    <row r="84" spans="1:3" x14ac:dyDescent="0.2">
      <c r="A84">
        <v>1.632322599179921E-3</v>
      </c>
      <c r="B84">
        <f t="shared" si="3"/>
        <v>1.632322599179921E-3</v>
      </c>
      <c r="C84">
        <f t="shared" si="2"/>
        <v>2.6644770677934933E-6</v>
      </c>
    </row>
    <row r="85" spans="1:3" x14ac:dyDescent="0.2">
      <c r="A85">
        <v>1.305858079343937E-3</v>
      </c>
      <c r="B85">
        <f t="shared" si="3"/>
        <v>1.305858079343937E-3</v>
      </c>
      <c r="C85">
        <f t="shared" si="2"/>
        <v>1.7052653233878362E-6</v>
      </c>
    </row>
    <row r="86" spans="1:3" x14ac:dyDescent="0.2">
      <c r="A86">
        <v>9.7939355950795262E-4</v>
      </c>
      <c r="B86">
        <f t="shared" si="3"/>
        <v>9.7939355950795262E-4</v>
      </c>
      <c r="C86">
        <f t="shared" si="2"/>
        <v>9.5921174440565752E-7</v>
      </c>
    </row>
    <row r="87" spans="1:3" x14ac:dyDescent="0.2">
      <c r="A87">
        <v>9.7939355950795262E-4</v>
      </c>
      <c r="B87">
        <f t="shared" si="3"/>
        <v>9.7939355950795262E-4</v>
      </c>
      <c r="C87">
        <f t="shared" si="2"/>
        <v>9.5921174440565752E-7</v>
      </c>
    </row>
    <row r="88" spans="1:3" x14ac:dyDescent="0.2">
      <c r="A88">
        <v>9.7939355950795262E-4</v>
      </c>
      <c r="B88">
        <f t="shared" si="3"/>
        <v>9.7939355950795262E-4</v>
      </c>
      <c r="C88">
        <f t="shared" si="2"/>
        <v>9.5921174440565752E-7</v>
      </c>
    </row>
    <row r="89" spans="1:3" x14ac:dyDescent="0.2">
      <c r="A89">
        <v>6.5292903967196852E-4</v>
      </c>
      <c r="B89">
        <f t="shared" si="3"/>
        <v>6.5292903967196852E-4</v>
      </c>
      <c r="C89">
        <f t="shared" si="2"/>
        <v>4.2631633084695904E-7</v>
      </c>
    </row>
    <row r="90" spans="1:3" x14ac:dyDescent="0.2">
      <c r="A90">
        <v>6.5292903967196852E-4</v>
      </c>
      <c r="B90">
        <f t="shared" si="3"/>
        <v>6.5292903967196852E-4</v>
      </c>
      <c r="C90">
        <f t="shared" si="2"/>
        <v>4.2631633084695904E-7</v>
      </c>
    </row>
    <row r="91" spans="1:3" x14ac:dyDescent="0.2">
      <c r="A91">
        <v>6.5292903967196852E-4</v>
      </c>
      <c r="B91">
        <f t="shared" si="3"/>
        <v>6.5292903967196852E-4</v>
      </c>
      <c r="C91">
        <f t="shared" si="2"/>
        <v>4.2631633084695904E-7</v>
      </c>
    </row>
    <row r="92" spans="1:3" x14ac:dyDescent="0.2">
      <c r="A92">
        <v>6.5292903967196852E-4</v>
      </c>
      <c r="B92">
        <f t="shared" si="3"/>
        <v>6.5292903967196852E-4</v>
      </c>
      <c r="C92">
        <f t="shared" si="2"/>
        <v>4.2631633084695904E-7</v>
      </c>
    </row>
    <row r="93" spans="1:3" x14ac:dyDescent="0.2">
      <c r="A93">
        <v>3.2646451983598426E-4</v>
      </c>
      <c r="B93">
        <f t="shared" si="3"/>
        <v>3.2646451983598426E-4</v>
      </c>
      <c r="C93">
        <f t="shared" si="2"/>
        <v>1.0657908271173976E-7</v>
      </c>
    </row>
    <row r="94" spans="1:3" x14ac:dyDescent="0.2">
      <c r="A94">
        <v>3.2646451983598426E-4</v>
      </c>
      <c r="B94">
        <f t="shared" si="3"/>
        <v>3.2646451983598426E-4</v>
      </c>
      <c r="C94">
        <f t="shared" si="2"/>
        <v>1.0657908271173976E-7</v>
      </c>
    </row>
    <row r="95" spans="1:3" x14ac:dyDescent="0.2">
      <c r="A95">
        <v>0</v>
      </c>
      <c r="B95">
        <f t="shared" si="3"/>
        <v>0</v>
      </c>
      <c r="C95">
        <f t="shared" si="2"/>
        <v>0</v>
      </c>
    </row>
    <row r="96" spans="1:3" x14ac:dyDescent="0.2">
      <c r="A96">
        <v>0</v>
      </c>
      <c r="B96">
        <f t="shared" si="3"/>
        <v>0</v>
      </c>
      <c r="C96">
        <f t="shared" si="2"/>
        <v>0</v>
      </c>
    </row>
    <row r="97" spans="1:3" x14ac:dyDescent="0.2">
      <c r="A97">
        <v>0</v>
      </c>
      <c r="B97">
        <f t="shared" si="3"/>
        <v>0</v>
      </c>
      <c r="C97">
        <f t="shared" si="2"/>
        <v>0</v>
      </c>
    </row>
    <row r="98" spans="1:3" x14ac:dyDescent="0.2">
      <c r="A98">
        <v>0</v>
      </c>
      <c r="B98">
        <f t="shared" si="3"/>
        <v>0</v>
      </c>
      <c r="C98">
        <f t="shared" si="2"/>
        <v>0</v>
      </c>
    </row>
    <row r="99" spans="1:3" x14ac:dyDescent="0.2">
      <c r="A99" s="12" t="s">
        <v>1082</v>
      </c>
      <c r="B99" s="12">
        <f>SUM(B3:B98)</f>
        <v>99.999999999999986</v>
      </c>
      <c r="C99" s="12">
        <f>SUM(C3:C98)</f>
        <v>2382.9906998799111</v>
      </c>
    </row>
  </sheetData>
  <sortState xmlns:xlrd2="http://schemas.microsoft.com/office/spreadsheetml/2017/richdata2" ref="A2:A98">
    <sortCondition descending="1" ref="A2:A98"/>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3EC4-7B95-514D-93F8-A0EA32A3E82B}">
  <dimension ref="A1:H99"/>
  <sheetViews>
    <sheetView topLeftCell="A15" workbookViewId="0">
      <selection activeCell="G36" sqref="G36"/>
    </sheetView>
  </sheetViews>
  <sheetFormatPr baseColWidth="10" defaultRowHeight="15" x14ac:dyDescent="0.2"/>
  <cols>
    <col min="1" max="1" width="20.1640625" bestFit="1" customWidth="1"/>
    <col min="2" max="2" width="12.6640625" bestFit="1" customWidth="1"/>
    <col min="3" max="3" width="14" bestFit="1" customWidth="1"/>
    <col min="6" max="6" width="11.83203125" bestFit="1" customWidth="1"/>
    <col min="9" max="9" width="14.6640625" bestFit="1" customWidth="1"/>
  </cols>
  <sheetData>
    <row r="1" spans="1:7" x14ac:dyDescent="0.2">
      <c r="A1" s="10" t="s">
        <v>1071</v>
      </c>
      <c r="B1" s="10" t="s">
        <v>1068</v>
      </c>
      <c r="C1" s="7" t="s">
        <v>1072</v>
      </c>
      <c r="D1" s="6" t="s">
        <v>1073</v>
      </c>
      <c r="F1" t="s">
        <v>1078</v>
      </c>
      <c r="G1">
        <f>(G3/G4)*100</f>
        <v>18.579234972677597</v>
      </c>
    </row>
    <row r="2" spans="1:7" x14ac:dyDescent="0.2">
      <c r="A2" s="5" t="s">
        <v>802</v>
      </c>
      <c r="B2">
        <v>1</v>
      </c>
      <c r="C2">
        <f>(B2/B$99)*100</f>
        <v>0.54644808743169404</v>
      </c>
      <c r="D2">
        <f>C2^2</f>
        <v>0.29860551225775633</v>
      </c>
    </row>
    <row r="3" spans="1:7" x14ac:dyDescent="0.2">
      <c r="A3" s="5" t="s">
        <v>716</v>
      </c>
      <c r="B3">
        <v>1</v>
      </c>
      <c r="C3">
        <f t="shared" ref="C3:C66" si="0">(B3/B$99)*100</f>
        <v>0.54644808743169404</v>
      </c>
      <c r="D3">
        <f t="shared" ref="D3:D66" si="1">C3^2</f>
        <v>0.29860551225775633</v>
      </c>
      <c r="F3" t="s">
        <v>1075</v>
      </c>
      <c r="G3">
        <f>GETPIVOTDATA("Brand",$A$1,"Brand","De'Longhi")+GETPIVOTDATA("Brand",$A$1,"Brand","Gaggia")+GETPIVOTDATA("Brand",$A$1,"Brand","KLARSTEIN")+GETPIVOTDATA("Brand",$A$1,"Brand","KRUPS")</f>
        <v>34</v>
      </c>
    </row>
    <row r="4" spans="1:7" x14ac:dyDescent="0.2">
      <c r="A4" s="5" t="s">
        <v>786</v>
      </c>
      <c r="B4">
        <v>1</v>
      </c>
      <c r="C4">
        <f t="shared" si="0"/>
        <v>0.54644808743169404</v>
      </c>
      <c r="D4">
        <f t="shared" si="1"/>
        <v>0.29860551225775633</v>
      </c>
      <c r="F4" t="s">
        <v>1076</v>
      </c>
      <c r="G4">
        <f>GETPIVOTDATA("Brand",$A$1)</f>
        <v>183</v>
      </c>
    </row>
    <row r="5" spans="1:7" x14ac:dyDescent="0.2">
      <c r="A5" s="5" t="s">
        <v>705</v>
      </c>
      <c r="B5">
        <v>2</v>
      </c>
      <c r="C5">
        <f t="shared" si="0"/>
        <v>1.0928961748633881</v>
      </c>
      <c r="D5">
        <f t="shared" si="1"/>
        <v>1.1944220490310253</v>
      </c>
    </row>
    <row r="6" spans="1:7" x14ac:dyDescent="0.2">
      <c r="A6" s="5" t="s">
        <v>812</v>
      </c>
      <c r="B6">
        <v>1</v>
      </c>
      <c r="C6">
        <f t="shared" si="0"/>
        <v>0.54644808743169404</v>
      </c>
      <c r="D6">
        <f t="shared" si="1"/>
        <v>0.29860551225775633</v>
      </c>
    </row>
    <row r="7" spans="1:7" x14ac:dyDescent="0.2">
      <c r="A7" s="5" t="s">
        <v>720</v>
      </c>
      <c r="B7">
        <v>2</v>
      </c>
      <c r="C7">
        <f t="shared" si="0"/>
        <v>1.0928961748633881</v>
      </c>
      <c r="D7">
        <f t="shared" si="1"/>
        <v>1.1944220490310253</v>
      </c>
    </row>
    <row r="8" spans="1:7" x14ac:dyDescent="0.2">
      <c r="A8" s="5" t="s">
        <v>975</v>
      </c>
      <c r="B8">
        <v>1</v>
      </c>
      <c r="C8">
        <f t="shared" si="0"/>
        <v>0.54644808743169404</v>
      </c>
      <c r="D8">
        <f t="shared" si="1"/>
        <v>0.29860551225775633</v>
      </c>
    </row>
    <row r="9" spans="1:7" x14ac:dyDescent="0.2">
      <c r="A9" s="5" t="s">
        <v>815</v>
      </c>
      <c r="B9">
        <v>1</v>
      </c>
      <c r="C9">
        <f t="shared" si="0"/>
        <v>0.54644808743169404</v>
      </c>
      <c r="D9">
        <f t="shared" si="1"/>
        <v>0.29860551225775633</v>
      </c>
    </row>
    <row r="10" spans="1:7" x14ac:dyDescent="0.2">
      <c r="A10" s="5" t="s">
        <v>817</v>
      </c>
      <c r="B10">
        <v>1</v>
      </c>
      <c r="C10">
        <f t="shared" si="0"/>
        <v>0.54644808743169404</v>
      </c>
      <c r="D10">
        <f t="shared" si="1"/>
        <v>0.29860551225775633</v>
      </c>
    </row>
    <row r="11" spans="1:7" x14ac:dyDescent="0.2">
      <c r="A11" s="5" t="s">
        <v>645</v>
      </c>
      <c r="B11">
        <v>3</v>
      </c>
      <c r="C11">
        <f t="shared" si="0"/>
        <v>1.639344262295082</v>
      </c>
      <c r="D11">
        <f t="shared" si="1"/>
        <v>2.6874496103198067</v>
      </c>
    </row>
    <row r="12" spans="1:7" x14ac:dyDescent="0.2">
      <c r="A12" s="5" t="s">
        <v>823</v>
      </c>
      <c r="B12">
        <v>1</v>
      </c>
      <c r="C12">
        <f t="shared" si="0"/>
        <v>0.54644808743169404</v>
      </c>
      <c r="D12">
        <f t="shared" si="1"/>
        <v>0.29860551225775633</v>
      </c>
    </row>
    <row r="13" spans="1:7" x14ac:dyDescent="0.2">
      <c r="A13" s="5" t="s">
        <v>828</v>
      </c>
      <c r="B13">
        <v>3</v>
      </c>
      <c r="C13">
        <f t="shared" si="0"/>
        <v>1.639344262295082</v>
      </c>
      <c r="D13">
        <f t="shared" si="1"/>
        <v>2.6874496103198067</v>
      </c>
    </row>
    <row r="14" spans="1:7" x14ac:dyDescent="0.2">
      <c r="A14" s="5" t="s">
        <v>930</v>
      </c>
      <c r="B14">
        <v>1</v>
      </c>
      <c r="C14">
        <f t="shared" si="0"/>
        <v>0.54644808743169404</v>
      </c>
      <c r="D14">
        <f t="shared" si="1"/>
        <v>0.29860551225775633</v>
      </c>
    </row>
    <row r="15" spans="1:7" x14ac:dyDescent="0.2">
      <c r="A15" s="5" t="s">
        <v>767</v>
      </c>
      <c r="B15">
        <v>2</v>
      </c>
      <c r="C15">
        <f t="shared" si="0"/>
        <v>1.0928961748633881</v>
      </c>
      <c r="D15">
        <f t="shared" si="1"/>
        <v>1.1944220490310253</v>
      </c>
    </row>
    <row r="16" spans="1:7" x14ac:dyDescent="0.2">
      <c r="A16" s="5" t="s">
        <v>834</v>
      </c>
      <c r="B16">
        <v>1</v>
      </c>
      <c r="C16">
        <f t="shared" si="0"/>
        <v>0.54644808743169404</v>
      </c>
      <c r="D16">
        <f t="shared" si="1"/>
        <v>0.29860551225775633</v>
      </c>
    </row>
    <row r="17" spans="1:8" x14ac:dyDescent="0.2">
      <c r="A17" s="5" t="s">
        <v>837</v>
      </c>
      <c r="B17">
        <v>1</v>
      </c>
      <c r="C17">
        <f t="shared" si="0"/>
        <v>0.54644808743169404</v>
      </c>
      <c r="D17">
        <f t="shared" si="1"/>
        <v>0.29860551225775633</v>
      </c>
    </row>
    <row r="18" spans="1:8" x14ac:dyDescent="0.2">
      <c r="A18" s="5" t="s">
        <v>769</v>
      </c>
      <c r="B18">
        <v>1</v>
      </c>
      <c r="C18">
        <f t="shared" si="0"/>
        <v>0.54644808743169404</v>
      </c>
      <c r="D18">
        <f t="shared" si="1"/>
        <v>0.29860551225775633</v>
      </c>
    </row>
    <row r="19" spans="1:8" x14ac:dyDescent="0.2">
      <c r="A19" s="5" t="s">
        <v>840</v>
      </c>
      <c r="B19">
        <v>1</v>
      </c>
      <c r="C19">
        <f t="shared" si="0"/>
        <v>0.54644808743169404</v>
      </c>
      <c r="D19">
        <f t="shared" si="1"/>
        <v>0.29860551225775633</v>
      </c>
    </row>
    <row r="20" spans="1:8" x14ac:dyDescent="0.2">
      <c r="A20" s="5" t="s">
        <v>678</v>
      </c>
      <c r="B20">
        <v>2</v>
      </c>
      <c r="C20">
        <f t="shared" si="0"/>
        <v>1.0928961748633881</v>
      </c>
      <c r="D20">
        <f t="shared" si="1"/>
        <v>1.1944220490310253</v>
      </c>
    </row>
    <row r="21" spans="1:8" x14ac:dyDescent="0.2">
      <c r="A21" s="5" t="s">
        <v>631</v>
      </c>
      <c r="B21">
        <v>3</v>
      </c>
      <c r="C21">
        <f t="shared" si="0"/>
        <v>1.639344262295082</v>
      </c>
      <c r="D21">
        <f t="shared" si="1"/>
        <v>2.6874496103198067</v>
      </c>
    </row>
    <row r="22" spans="1:8" x14ac:dyDescent="0.2">
      <c r="A22" s="5" t="s">
        <v>847</v>
      </c>
      <c r="B22">
        <v>1</v>
      </c>
      <c r="C22">
        <f t="shared" si="0"/>
        <v>0.54644808743169404</v>
      </c>
      <c r="D22">
        <f t="shared" si="1"/>
        <v>0.29860551225775633</v>
      </c>
    </row>
    <row r="23" spans="1:8" x14ac:dyDescent="0.2">
      <c r="A23" s="5" t="s">
        <v>658</v>
      </c>
      <c r="B23">
        <v>2</v>
      </c>
      <c r="C23">
        <f t="shared" si="0"/>
        <v>1.0928961748633881</v>
      </c>
      <c r="D23">
        <f t="shared" si="1"/>
        <v>1.1944220490310253</v>
      </c>
      <c r="H23" s="5"/>
    </row>
    <row r="24" spans="1:8" x14ac:dyDescent="0.2">
      <c r="A24" s="5" t="s">
        <v>852</v>
      </c>
      <c r="B24">
        <v>1</v>
      </c>
      <c r="C24">
        <f t="shared" si="0"/>
        <v>0.54644808743169404</v>
      </c>
      <c r="D24">
        <f t="shared" si="1"/>
        <v>0.29860551225775633</v>
      </c>
    </row>
    <row r="25" spans="1:8" x14ac:dyDescent="0.2">
      <c r="A25" s="5" t="s">
        <v>648</v>
      </c>
      <c r="B25">
        <v>13</v>
      </c>
      <c r="C25">
        <f t="shared" si="0"/>
        <v>7.1038251366120218</v>
      </c>
      <c r="D25">
        <f t="shared" si="1"/>
        <v>50.464331571560813</v>
      </c>
    </row>
    <row r="26" spans="1:8" x14ac:dyDescent="0.2">
      <c r="A26" s="5" t="s">
        <v>796</v>
      </c>
      <c r="B26">
        <v>1</v>
      </c>
      <c r="C26">
        <f t="shared" si="0"/>
        <v>0.54644808743169404</v>
      </c>
      <c r="D26">
        <f t="shared" si="1"/>
        <v>0.29860551225775633</v>
      </c>
    </row>
    <row r="27" spans="1:8" x14ac:dyDescent="0.2">
      <c r="A27" s="5" t="s">
        <v>881</v>
      </c>
      <c r="B27">
        <v>1</v>
      </c>
      <c r="C27">
        <f t="shared" si="0"/>
        <v>0.54644808743169404</v>
      </c>
      <c r="D27">
        <f t="shared" si="1"/>
        <v>0.29860551225775633</v>
      </c>
    </row>
    <row r="28" spans="1:8" x14ac:dyDescent="0.2">
      <c r="A28" s="5" t="s">
        <v>865</v>
      </c>
      <c r="B28">
        <v>1</v>
      </c>
      <c r="C28">
        <f t="shared" si="0"/>
        <v>0.54644808743169404</v>
      </c>
      <c r="D28">
        <f t="shared" si="1"/>
        <v>0.29860551225775633</v>
      </c>
    </row>
    <row r="29" spans="1:8" x14ac:dyDescent="0.2">
      <c r="A29" s="5" t="s">
        <v>680</v>
      </c>
      <c r="B29">
        <v>2</v>
      </c>
      <c r="C29">
        <f t="shared" si="0"/>
        <v>1.0928961748633881</v>
      </c>
      <c r="D29">
        <f t="shared" si="1"/>
        <v>1.1944220490310253</v>
      </c>
    </row>
    <row r="30" spans="1:8" x14ac:dyDescent="0.2">
      <c r="A30" s="5" t="s">
        <v>661</v>
      </c>
      <c r="B30">
        <v>1</v>
      </c>
      <c r="C30">
        <f t="shared" si="0"/>
        <v>0.54644808743169404</v>
      </c>
      <c r="D30">
        <f t="shared" si="1"/>
        <v>0.29860551225775633</v>
      </c>
    </row>
    <row r="31" spans="1:8" x14ac:dyDescent="0.2">
      <c r="A31" s="5" t="s">
        <v>683</v>
      </c>
      <c r="B31">
        <v>2</v>
      </c>
      <c r="C31">
        <f t="shared" si="0"/>
        <v>1.0928961748633881</v>
      </c>
      <c r="D31">
        <f t="shared" si="1"/>
        <v>1.1944220490310253</v>
      </c>
    </row>
    <row r="32" spans="1:8" x14ac:dyDescent="0.2">
      <c r="A32" s="5" t="s">
        <v>764</v>
      </c>
      <c r="B32">
        <v>1</v>
      </c>
      <c r="C32">
        <f t="shared" si="0"/>
        <v>0.54644808743169404</v>
      </c>
      <c r="D32">
        <f t="shared" si="1"/>
        <v>0.29860551225775633</v>
      </c>
    </row>
    <row r="33" spans="1:4" x14ac:dyDescent="0.2">
      <c r="A33" s="5" t="s">
        <v>737</v>
      </c>
      <c r="B33">
        <v>1</v>
      </c>
      <c r="C33">
        <f t="shared" si="0"/>
        <v>0.54644808743169404</v>
      </c>
      <c r="D33">
        <f t="shared" si="1"/>
        <v>0.29860551225775633</v>
      </c>
    </row>
    <row r="34" spans="1:4" x14ac:dyDescent="0.2">
      <c r="A34" s="5" t="s">
        <v>610</v>
      </c>
      <c r="B34">
        <v>7</v>
      </c>
      <c r="C34">
        <f t="shared" si="0"/>
        <v>3.8251366120218582</v>
      </c>
      <c r="D34">
        <f t="shared" si="1"/>
        <v>14.631670100630059</v>
      </c>
    </row>
    <row r="35" spans="1:4" x14ac:dyDescent="0.2">
      <c r="A35" s="5" t="s">
        <v>692</v>
      </c>
      <c r="B35">
        <v>3</v>
      </c>
      <c r="C35">
        <f t="shared" si="0"/>
        <v>1.639344262295082</v>
      </c>
      <c r="D35">
        <f t="shared" si="1"/>
        <v>2.6874496103198067</v>
      </c>
    </row>
    <row r="36" spans="1:4" x14ac:dyDescent="0.2">
      <c r="A36" s="5" t="s">
        <v>991</v>
      </c>
      <c r="B36">
        <v>1</v>
      </c>
      <c r="C36">
        <f t="shared" si="0"/>
        <v>0.54644808743169404</v>
      </c>
      <c r="D36">
        <f t="shared" si="1"/>
        <v>0.29860551225775633</v>
      </c>
    </row>
    <row r="37" spans="1:4" x14ac:dyDescent="0.2">
      <c r="A37" s="5" t="s">
        <v>890</v>
      </c>
      <c r="B37">
        <v>1</v>
      </c>
      <c r="C37">
        <f t="shared" si="0"/>
        <v>0.54644808743169404</v>
      </c>
      <c r="D37">
        <f t="shared" si="1"/>
        <v>0.29860551225775633</v>
      </c>
    </row>
    <row r="38" spans="1:4" x14ac:dyDescent="0.2">
      <c r="A38" s="5" t="s">
        <v>893</v>
      </c>
      <c r="B38">
        <v>1</v>
      </c>
      <c r="C38">
        <f t="shared" si="0"/>
        <v>0.54644808743169404</v>
      </c>
      <c r="D38">
        <f t="shared" si="1"/>
        <v>0.29860551225775633</v>
      </c>
    </row>
    <row r="39" spans="1:4" x14ac:dyDescent="0.2">
      <c r="A39" s="5" t="s">
        <v>952</v>
      </c>
      <c r="B39">
        <v>1</v>
      </c>
      <c r="C39">
        <f t="shared" si="0"/>
        <v>0.54644808743169404</v>
      </c>
      <c r="D39">
        <f t="shared" si="1"/>
        <v>0.29860551225775633</v>
      </c>
    </row>
    <row r="40" spans="1:4" x14ac:dyDescent="0.2">
      <c r="A40" s="5" t="s">
        <v>782</v>
      </c>
      <c r="B40">
        <v>3</v>
      </c>
      <c r="C40">
        <f t="shared" si="0"/>
        <v>1.639344262295082</v>
      </c>
      <c r="D40">
        <f t="shared" si="1"/>
        <v>2.6874496103198067</v>
      </c>
    </row>
    <row r="41" spans="1:4" x14ac:dyDescent="0.2">
      <c r="A41" s="5" t="s">
        <v>896</v>
      </c>
      <c r="B41">
        <v>3</v>
      </c>
      <c r="C41">
        <f t="shared" si="0"/>
        <v>1.639344262295082</v>
      </c>
      <c r="D41">
        <f t="shared" si="1"/>
        <v>2.6874496103198067</v>
      </c>
    </row>
    <row r="42" spans="1:4" x14ac:dyDescent="0.2">
      <c r="A42" s="5" t="s">
        <v>900</v>
      </c>
      <c r="B42">
        <v>2</v>
      </c>
      <c r="C42">
        <f t="shared" si="0"/>
        <v>1.0928961748633881</v>
      </c>
      <c r="D42">
        <f t="shared" si="1"/>
        <v>1.1944220490310253</v>
      </c>
    </row>
    <row r="43" spans="1:4" x14ac:dyDescent="0.2">
      <c r="A43" s="5" t="s">
        <v>693</v>
      </c>
      <c r="B43">
        <v>1</v>
      </c>
      <c r="C43">
        <f t="shared" si="0"/>
        <v>0.54644808743169404</v>
      </c>
      <c r="D43">
        <f t="shared" si="1"/>
        <v>0.29860551225775633</v>
      </c>
    </row>
    <row r="44" spans="1:4" x14ac:dyDescent="0.2">
      <c r="A44" s="5" t="s">
        <v>941</v>
      </c>
      <c r="B44">
        <v>1</v>
      </c>
      <c r="C44">
        <f t="shared" si="0"/>
        <v>0.54644808743169404</v>
      </c>
      <c r="D44">
        <f t="shared" si="1"/>
        <v>0.29860551225775633</v>
      </c>
    </row>
    <row r="45" spans="1:4" x14ac:dyDescent="0.2">
      <c r="A45" s="5" t="s">
        <v>905</v>
      </c>
      <c r="B45">
        <v>1</v>
      </c>
      <c r="C45">
        <f t="shared" si="0"/>
        <v>0.54644808743169404</v>
      </c>
      <c r="D45">
        <f t="shared" si="1"/>
        <v>0.29860551225775633</v>
      </c>
    </row>
    <row r="46" spans="1:4" x14ac:dyDescent="0.2">
      <c r="A46" s="5" t="s">
        <v>973</v>
      </c>
      <c r="B46">
        <v>1</v>
      </c>
      <c r="C46">
        <f t="shared" si="0"/>
        <v>0.54644808743169404</v>
      </c>
      <c r="D46">
        <f t="shared" si="1"/>
        <v>0.29860551225775633</v>
      </c>
    </row>
    <row r="47" spans="1:4" x14ac:dyDescent="0.2">
      <c r="A47" s="5" t="s">
        <v>651</v>
      </c>
      <c r="B47">
        <v>1</v>
      </c>
      <c r="C47">
        <f t="shared" si="0"/>
        <v>0.54644808743169404</v>
      </c>
      <c r="D47">
        <f t="shared" si="1"/>
        <v>0.29860551225775633</v>
      </c>
    </row>
    <row r="48" spans="1:4" x14ac:dyDescent="0.2">
      <c r="A48" s="5" t="s">
        <v>907</v>
      </c>
      <c r="B48">
        <v>2</v>
      </c>
      <c r="C48">
        <f t="shared" si="0"/>
        <v>1.0928961748633881</v>
      </c>
      <c r="D48">
        <f t="shared" si="1"/>
        <v>1.1944220490310253</v>
      </c>
    </row>
    <row r="49" spans="1:4" x14ac:dyDescent="0.2">
      <c r="A49" s="5" t="s">
        <v>945</v>
      </c>
      <c r="B49">
        <v>1</v>
      </c>
      <c r="C49">
        <f t="shared" si="0"/>
        <v>0.54644808743169404</v>
      </c>
      <c r="D49">
        <f t="shared" si="1"/>
        <v>0.29860551225775633</v>
      </c>
    </row>
    <row r="50" spans="1:4" x14ac:dyDescent="0.2">
      <c r="A50" s="5" t="s">
        <v>908</v>
      </c>
      <c r="B50">
        <v>1</v>
      </c>
      <c r="C50">
        <f t="shared" si="0"/>
        <v>0.54644808743169404</v>
      </c>
      <c r="D50">
        <f t="shared" si="1"/>
        <v>0.29860551225775633</v>
      </c>
    </row>
    <row r="51" spans="1:4" x14ac:dyDescent="0.2">
      <c r="A51" s="5" t="s">
        <v>746</v>
      </c>
      <c r="B51">
        <v>3</v>
      </c>
      <c r="C51">
        <f t="shared" si="0"/>
        <v>1.639344262295082</v>
      </c>
      <c r="D51">
        <f t="shared" si="1"/>
        <v>2.6874496103198067</v>
      </c>
    </row>
    <row r="52" spans="1:4" x14ac:dyDescent="0.2">
      <c r="A52" s="5" t="s">
        <v>668</v>
      </c>
      <c r="B52">
        <v>7</v>
      </c>
      <c r="C52">
        <f t="shared" si="0"/>
        <v>3.8251366120218582</v>
      </c>
      <c r="D52">
        <f t="shared" si="1"/>
        <v>14.631670100630059</v>
      </c>
    </row>
    <row r="53" spans="1:4" x14ac:dyDescent="0.2">
      <c r="A53" s="5" t="s">
        <v>740</v>
      </c>
      <c r="B53">
        <v>4</v>
      </c>
      <c r="C53">
        <f t="shared" si="0"/>
        <v>2.1857923497267762</v>
      </c>
      <c r="D53">
        <f t="shared" si="1"/>
        <v>4.7776881961241013</v>
      </c>
    </row>
    <row r="54" spans="1:4" x14ac:dyDescent="0.2">
      <c r="A54" s="5" t="s">
        <v>748</v>
      </c>
      <c r="B54">
        <v>7</v>
      </c>
      <c r="C54">
        <f t="shared" si="0"/>
        <v>3.8251366120218582</v>
      </c>
      <c r="D54">
        <f t="shared" si="1"/>
        <v>14.631670100630059</v>
      </c>
    </row>
    <row r="55" spans="1:4" x14ac:dyDescent="0.2">
      <c r="A55" s="5" t="s">
        <v>980</v>
      </c>
      <c r="B55">
        <v>1</v>
      </c>
      <c r="C55">
        <f t="shared" si="0"/>
        <v>0.54644808743169404</v>
      </c>
      <c r="D55">
        <f t="shared" si="1"/>
        <v>0.29860551225775633</v>
      </c>
    </row>
    <row r="56" spans="1:4" x14ac:dyDescent="0.2">
      <c r="A56" s="5" t="s">
        <v>921</v>
      </c>
      <c r="B56">
        <v>1</v>
      </c>
      <c r="C56">
        <f t="shared" si="0"/>
        <v>0.54644808743169404</v>
      </c>
      <c r="D56">
        <f t="shared" si="1"/>
        <v>0.29860551225775633</v>
      </c>
    </row>
    <row r="57" spans="1:4" x14ac:dyDescent="0.2">
      <c r="A57" s="5" t="s">
        <v>923</v>
      </c>
      <c r="B57">
        <v>1</v>
      </c>
      <c r="C57">
        <f t="shared" si="0"/>
        <v>0.54644808743169404</v>
      </c>
      <c r="D57">
        <f t="shared" si="1"/>
        <v>0.29860551225775633</v>
      </c>
    </row>
    <row r="58" spans="1:4" x14ac:dyDescent="0.2">
      <c r="A58" s="5" t="s">
        <v>672</v>
      </c>
      <c r="B58">
        <v>2</v>
      </c>
      <c r="C58">
        <f t="shared" si="0"/>
        <v>1.0928961748633881</v>
      </c>
      <c r="D58">
        <f t="shared" si="1"/>
        <v>1.1944220490310253</v>
      </c>
    </row>
    <row r="59" spans="1:4" x14ac:dyDescent="0.2">
      <c r="A59" s="5" t="s">
        <v>775</v>
      </c>
      <c r="B59">
        <v>2</v>
      </c>
      <c r="C59">
        <f t="shared" si="0"/>
        <v>1.0928961748633881</v>
      </c>
      <c r="D59">
        <f t="shared" si="1"/>
        <v>1.1944220490310253</v>
      </c>
    </row>
    <row r="60" spans="1:4" x14ac:dyDescent="0.2">
      <c r="A60" s="5" t="s">
        <v>699</v>
      </c>
      <c r="B60">
        <v>3</v>
      </c>
      <c r="C60">
        <f t="shared" si="0"/>
        <v>1.639344262295082</v>
      </c>
      <c r="D60">
        <f t="shared" si="1"/>
        <v>2.6874496103198067</v>
      </c>
    </row>
    <row r="61" spans="1:4" x14ac:dyDescent="0.2">
      <c r="A61" s="5" t="s">
        <v>777</v>
      </c>
      <c r="B61">
        <v>1</v>
      </c>
      <c r="C61">
        <f t="shared" si="0"/>
        <v>0.54644808743169404</v>
      </c>
      <c r="D61">
        <f t="shared" si="1"/>
        <v>0.29860551225775633</v>
      </c>
    </row>
    <row r="62" spans="1:4" x14ac:dyDescent="0.2">
      <c r="A62" s="5" t="s">
        <v>976</v>
      </c>
      <c r="B62">
        <v>1</v>
      </c>
      <c r="C62">
        <f t="shared" si="0"/>
        <v>0.54644808743169404</v>
      </c>
      <c r="D62">
        <f t="shared" si="1"/>
        <v>0.29860551225775633</v>
      </c>
    </row>
    <row r="63" spans="1:4" x14ac:dyDescent="0.2">
      <c r="A63" s="5" t="s">
        <v>933</v>
      </c>
      <c r="B63">
        <v>1</v>
      </c>
      <c r="C63">
        <f t="shared" si="0"/>
        <v>0.54644808743169404</v>
      </c>
      <c r="D63">
        <f t="shared" si="1"/>
        <v>0.29860551225775633</v>
      </c>
    </row>
    <row r="64" spans="1:4" x14ac:dyDescent="0.2">
      <c r="A64" s="5" t="s">
        <v>986</v>
      </c>
      <c r="B64">
        <v>1</v>
      </c>
      <c r="C64">
        <f t="shared" si="0"/>
        <v>0.54644808743169404</v>
      </c>
      <c r="D64">
        <f t="shared" si="1"/>
        <v>0.29860551225775633</v>
      </c>
    </row>
    <row r="65" spans="1:4" x14ac:dyDescent="0.2">
      <c r="A65" s="5" t="s">
        <v>674</v>
      </c>
      <c r="B65">
        <v>1</v>
      </c>
      <c r="C65">
        <f t="shared" si="0"/>
        <v>0.54644808743169404</v>
      </c>
      <c r="D65">
        <f t="shared" si="1"/>
        <v>0.29860551225775633</v>
      </c>
    </row>
    <row r="66" spans="1:4" x14ac:dyDescent="0.2">
      <c r="A66" s="5" t="s">
        <v>656</v>
      </c>
      <c r="B66">
        <v>6</v>
      </c>
      <c r="C66">
        <f t="shared" si="0"/>
        <v>3.278688524590164</v>
      </c>
      <c r="D66">
        <f t="shared" si="1"/>
        <v>10.749798441279227</v>
      </c>
    </row>
    <row r="67" spans="1:4" x14ac:dyDescent="0.2">
      <c r="A67" s="5" t="s">
        <v>954</v>
      </c>
      <c r="B67">
        <v>1</v>
      </c>
      <c r="C67">
        <f t="shared" ref="C67:C99" si="2">(B67/B$99)*100</f>
        <v>0.54644808743169404</v>
      </c>
      <c r="D67">
        <f t="shared" ref="D67:D98" si="3">C67^2</f>
        <v>0.29860551225775633</v>
      </c>
    </row>
    <row r="68" spans="1:4" x14ac:dyDescent="0.2">
      <c r="A68" s="5" t="s">
        <v>749</v>
      </c>
      <c r="B68">
        <v>1</v>
      </c>
      <c r="C68">
        <f t="shared" si="2"/>
        <v>0.54644808743169404</v>
      </c>
      <c r="D68">
        <f t="shared" si="3"/>
        <v>0.29860551225775633</v>
      </c>
    </row>
    <row r="69" spans="1:4" x14ac:dyDescent="0.2">
      <c r="A69" s="5" t="s">
        <v>788</v>
      </c>
      <c r="B69">
        <v>2</v>
      </c>
      <c r="C69">
        <f t="shared" si="2"/>
        <v>1.0928961748633881</v>
      </c>
      <c r="D69">
        <f t="shared" si="3"/>
        <v>1.1944220490310253</v>
      </c>
    </row>
    <row r="70" spans="1:4" x14ac:dyDescent="0.2">
      <c r="A70" s="5" t="s">
        <v>790</v>
      </c>
      <c r="B70">
        <v>1</v>
      </c>
      <c r="C70">
        <f t="shared" si="2"/>
        <v>0.54644808743169404</v>
      </c>
      <c r="D70">
        <f t="shared" si="3"/>
        <v>0.29860551225775633</v>
      </c>
    </row>
    <row r="71" spans="1:4" x14ac:dyDescent="0.2">
      <c r="A71" s="5" t="s">
        <v>779</v>
      </c>
      <c r="B71">
        <v>1</v>
      </c>
      <c r="C71">
        <f t="shared" si="2"/>
        <v>0.54644808743169404</v>
      </c>
      <c r="D71">
        <f t="shared" si="3"/>
        <v>0.29860551225775633</v>
      </c>
    </row>
    <row r="72" spans="1:4" x14ac:dyDescent="0.2">
      <c r="A72" s="5" t="s">
        <v>623</v>
      </c>
      <c r="B72">
        <v>2</v>
      </c>
      <c r="C72">
        <f t="shared" si="2"/>
        <v>1.0928961748633881</v>
      </c>
      <c r="D72">
        <f t="shared" si="3"/>
        <v>1.1944220490310253</v>
      </c>
    </row>
    <row r="73" spans="1:4" x14ac:dyDescent="0.2">
      <c r="A73" s="5" t="s">
        <v>799</v>
      </c>
      <c r="B73">
        <v>1</v>
      </c>
      <c r="C73">
        <f t="shared" si="2"/>
        <v>0.54644808743169404</v>
      </c>
      <c r="D73">
        <f t="shared" si="3"/>
        <v>0.29860551225775633</v>
      </c>
    </row>
    <row r="74" spans="1:4" x14ac:dyDescent="0.2">
      <c r="A74" s="5" t="s">
        <v>960</v>
      </c>
      <c r="B74">
        <v>5</v>
      </c>
      <c r="C74">
        <f t="shared" si="2"/>
        <v>2.7322404371584699</v>
      </c>
      <c r="D74">
        <f t="shared" si="3"/>
        <v>7.4651378064439067</v>
      </c>
    </row>
    <row r="75" spans="1:4" x14ac:dyDescent="0.2">
      <c r="A75" s="5" t="s">
        <v>965</v>
      </c>
      <c r="B75">
        <v>2</v>
      </c>
      <c r="C75">
        <f t="shared" si="2"/>
        <v>1.0928961748633881</v>
      </c>
      <c r="D75">
        <f t="shared" si="3"/>
        <v>1.1944220490310253</v>
      </c>
    </row>
    <row r="76" spans="1:4" x14ac:dyDescent="0.2">
      <c r="A76" s="5" t="s">
        <v>988</v>
      </c>
      <c r="B76">
        <v>1</v>
      </c>
      <c r="C76">
        <f t="shared" si="2"/>
        <v>0.54644808743169404</v>
      </c>
      <c r="D76">
        <f t="shared" si="3"/>
        <v>0.29860551225775633</v>
      </c>
    </row>
    <row r="77" spans="1:4" x14ac:dyDescent="0.2">
      <c r="A77" s="5" t="s">
        <v>939</v>
      </c>
      <c r="B77">
        <v>1</v>
      </c>
      <c r="C77">
        <f t="shared" si="2"/>
        <v>0.54644808743169404</v>
      </c>
      <c r="D77">
        <f t="shared" si="3"/>
        <v>0.29860551225775633</v>
      </c>
    </row>
    <row r="78" spans="1:4" x14ac:dyDescent="0.2">
      <c r="A78" s="5" t="s">
        <v>993</v>
      </c>
      <c r="B78">
        <v>3</v>
      </c>
      <c r="C78">
        <f t="shared" si="2"/>
        <v>1.639344262295082</v>
      </c>
      <c r="D78">
        <f t="shared" si="3"/>
        <v>2.6874496103198067</v>
      </c>
    </row>
    <row r="79" spans="1:4" x14ac:dyDescent="0.2">
      <c r="A79" s="5" t="s">
        <v>1020</v>
      </c>
      <c r="B79">
        <v>1</v>
      </c>
      <c r="C79">
        <f t="shared" si="2"/>
        <v>0.54644808743169404</v>
      </c>
      <c r="D79">
        <f t="shared" si="3"/>
        <v>0.29860551225775633</v>
      </c>
    </row>
    <row r="80" spans="1:4" x14ac:dyDescent="0.2">
      <c r="A80" s="5" t="s">
        <v>702</v>
      </c>
      <c r="B80">
        <v>1</v>
      </c>
      <c r="C80">
        <f t="shared" si="2"/>
        <v>0.54644808743169404</v>
      </c>
      <c r="D80">
        <f t="shared" si="3"/>
        <v>0.29860551225775633</v>
      </c>
    </row>
    <row r="81" spans="1:4" x14ac:dyDescent="0.2">
      <c r="A81" s="5" t="s">
        <v>999</v>
      </c>
      <c r="B81">
        <v>3</v>
      </c>
      <c r="C81">
        <f t="shared" si="2"/>
        <v>1.639344262295082</v>
      </c>
      <c r="D81">
        <f t="shared" si="3"/>
        <v>2.6874496103198067</v>
      </c>
    </row>
    <row r="82" spans="1:4" x14ac:dyDescent="0.2">
      <c r="A82" s="5" t="s">
        <v>759</v>
      </c>
      <c r="B82">
        <v>1</v>
      </c>
      <c r="C82">
        <f t="shared" si="2"/>
        <v>0.54644808743169404</v>
      </c>
      <c r="D82">
        <f t="shared" si="3"/>
        <v>0.29860551225775633</v>
      </c>
    </row>
    <row r="83" spans="1:4" x14ac:dyDescent="0.2">
      <c r="A83" s="5" t="s">
        <v>629</v>
      </c>
      <c r="B83">
        <v>3</v>
      </c>
      <c r="C83">
        <f t="shared" si="2"/>
        <v>1.639344262295082</v>
      </c>
      <c r="D83">
        <f t="shared" si="3"/>
        <v>2.6874496103198067</v>
      </c>
    </row>
    <row r="84" spans="1:4" x14ac:dyDescent="0.2">
      <c r="A84" s="5" t="s">
        <v>1012</v>
      </c>
      <c r="B84">
        <v>1</v>
      </c>
      <c r="C84">
        <f t="shared" si="2"/>
        <v>0.54644808743169404</v>
      </c>
      <c r="D84">
        <f t="shared" si="3"/>
        <v>0.29860551225775633</v>
      </c>
    </row>
    <row r="85" spans="1:4" x14ac:dyDescent="0.2">
      <c r="A85" s="5" t="s">
        <v>871</v>
      </c>
      <c r="B85">
        <v>1</v>
      </c>
      <c r="C85">
        <f t="shared" si="2"/>
        <v>0.54644808743169404</v>
      </c>
      <c r="D85">
        <f t="shared" si="3"/>
        <v>0.29860551225775633</v>
      </c>
    </row>
    <row r="86" spans="1:4" x14ac:dyDescent="0.2">
      <c r="A86" s="5" t="s">
        <v>872</v>
      </c>
      <c r="B86">
        <v>1</v>
      </c>
      <c r="C86">
        <f t="shared" si="2"/>
        <v>0.54644808743169404</v>
      </c>
      <c r="D86">
        <f t="shared" si="3"/>
        <v>0.29860551225775633</v>
      </c>
    </row>
    <row r="87" spans="1:4" x14ac:dyDescent="0.2">
      <c r="A87" s="5" t="s">
        <v>760</v>
      </c>
      <c r="B87">
        <v>1</v>
      </c>
      <c r="C87">
        <f t="shared" si="2"/>
        <v>0.54644808743169404</v>
      </c>
      <c r="D87">
        <f t="shared" si="3"/>
        <v>0.29860551225775633</v>
      </c>
    </row>
    <row r="88" spans="1:4" x14ac:dyDescent="0.2">
      <c r="A88" s="5" t="s">
        <v>708</v>
      </c>
      <c r="B88">
        <v>5</v>
      </c>
      <c r="C88">
        <f t="shared" si="2"/>
        <v>2.7322404371584699</v>
      </c>
      <c r="D88">
        <f t="shared" si="3"/>
        <v>7.4651378064439067</v>
      </c>
    </row>
    <row r="89" spans="1:4" x14ac:dyDescent="0.2">
      <c r="A89" s="5" t="s">
        <v>1017</v>
      </c>
      <c r="B89">
        <v>1</v>
      </c>
      <c r="C89">
        <f t="shared" si="2"/>
        <v>0.54644808743169404</v>
      </c>
      <c r="D89">
        <f t="shared" si="3"/>
        <v>0.29860551225775633</v>
      </c>
    </row>
    <row r="90" spans="1:4" x14ac:dyDescent="0.2">
      <c r="A90" s="5" t="s">
        <v>794</v>
      </c>
      <c r="B90">
        <v>1</v>
      </c>
      <c r="C90">
        <f t="shared" si="2"/>
        <v>0.54644808743169404</v>
      </c>
      <c r="D90">
        <f t="shared" si="3"/>
        <v>0.29860551225775633</v>
      </c>
    </row>
    <row r="91" spans="1:4" x14ac:dyDescent="0.2">
      <c r="A91" s="5" t="s">
        <v>1014</v>
      </c>
      <c r="B91">
        <v>1</v>
      </c>
      <c r="C91">
        <f t="shared" si="2"/>
        <v>0.54644808743169404</v>
      </c>
      <c r="D91">
        <f t="shared" si="3"/>
        <v>0.29860551225775633</v>
      </c>
    </row>
    <row r="92" spans="1:4" x14ac:dyDescent="0.2">
      <c r="A92" s="5" t="s">
        <v>752</v>
      </c>
      <c r="B92">
        <v>1</v>
      </c>
      <c r="C92">
        <f t="shared" si="2"/>
        <v>0.54644808743169404</v>
      </c>
      <c r="D92">
        <f t="shared" si="3"/>
        <v>0.29860551225775633</v>
      </c>
    </row>
    <row r="93" spans="1:4" x14ac:dyDescent="0.2">
      <c r="A93" s="5" t="s">
        <v>1028</v>
      </c>
      <c r="B93">
        <v>1</v>
      </c>
      <c r="C93">
        <f t="shared" si="2"/>
        <v>0.54644808743169404</v>
      </c>
      <c r="D93">
        <f t="shared" si="3"/>
        <v>0.29860551225775633</v>
      </c>
    </row>
    <row r="94" spans="1:4" x14ac:dyDescent="0.2">
      <c r="A94" s="5" t="s">
        <v>639</v>
      </c>
      <c r="B94">
        <v>5</v>
      </c>
      <c r="C94">
        <f t="shared" si="2"/>
        <v>2.7322404371584699</v>
      </c>
      <c r="D94">
        <f t="shared" si="3"/>
        <v>7.4651378064439067</v>
      </c>
    </row>
    <row r="95" spans="1:4" x14ac:dyDescent="0.2">
      <c r="A95" s="5" t="s">
        <v>1037</v>
      </c>
      <c r="B95">
        <v>1</v>
      </c>
      <c r="C95">
        <f t="shared" si="2"/>
        <v>0.54644808743169404</v>
      </c>
      <c r="D95">
        <f t="shared" si="3"/>
        <v>0.29860551225775633</v>
      </c>
    </row>
    <row r="96" spans="1:4" x14ac:dyDescent="0.2">
      <c r="A96" s="5" t="s">
        <v>1039</v>
      </c>
      <c r="B96">
        <v>1</v>
      </c>
      <c r="C96">
        <f t="shared" si="2"/>
        <v>0.54644808743169404</v>
      </c>
      <c r="D96">
        <f t="shared" si="3"/>
        <v>0.29860551225775633</v>
      </c>
    </row>
    <row r="97" spans="1:4" x14ac:dyDescent="0.2">
      <c r="A97" s="5" t="s">
        <v>734</v>
      </c>
      <c r="B97">
        <v>1</v>
      </c>
      <c r="C97">
        <f t="shared" si="2"/>
        <v>0.54644808743169404</v>
      </c>
      <c r="D97">
        <f t="shared" si="3"/>
        <v>0.29860551225775633</v>
      </c>
    </row>
    <row r="98" spans="1:4" x14ac:dyDescent="0.2">
      <c r="A98" s="5" t="s">
        <v>971</v>
      </c>
      <c r="B98">
        <v>1</v>
      </c>
      <c r="C98">
        <f t="shared" si="2"/>
        <v>0.54644808743169404</v>
      </c>
      <c r="D98">
        <f t="shared" si="3"/>
        <v>0.29860551225775633</v>
      </c>
    </row>
    <row r="99" spans="1:4" x14ac:dyDescent="0.2">
      <c r="A99" s="8" t="s">
        <v>1070</v>
      </c>
      <c r="B99" s="9">
        <v>183</v>
      </c>
      <c r="C99">
        <f t="shared" si="2"/>
        <v>100</v>
      </c>
      <c r="D99" s="6">
        <f>SUM(D2:D98)</f>
        <v>197.37824360237676</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B3C2-267B-1349-B4AC-AE34FD5E5A93}">
  <dimension ref="A1:F99"/>
  <sheetViews>
    <sheetView workbookViewId="0"/>
  </sheetViews>
  <sheetFormatPr baseColWidth="10" defaultRowHeight="15" x14ac:dyDescent="0.2"/>
  <cols>
    <col min="1" max="1" width="14" bestFit="1" customWidth="1"/>
    <col min="2" max="2" width="21" bestFit="1" customWidth="1"/>
    <col min="3" max="3" width="13.6640625" bestFit="1" customWidth="1"/>
    <col min="5" max="5" width="14.6640625" bestFit="1" customWidth="1"/>
    <col min="6" max="6" width="12.1640625" bestFit="1" customWidth="1"/>
  </cols>
  <sheetData>
    <row r="1" spans="1:6" x14ac:dyDescent="0.2">
      <c r="A1" s="12" t="s">
        <v>1072</v>
      </c>
      <c r="B1" s="12" t="s">
        <v>1081</v>
      </c>
      <c r="C1" s="12" t="s">
        <v>1080</v>
      </c>
      <c r="E1" t="s">
        <v>1079</v>
      </c>
      <c r="F1">
        <f>(F3/F4)*100</f>
        <v>21.857923497267763</v>
      </c>
    </row>
    <row r="2" spans="1:6" x14ac:dyDescent="0.2">
      <c r="A2">
        <v>7.1038251366120218</v>
      </c>
    </row>
    <row r="3" spans="1:6" x14ac:dyDescent="0.2">
      <c r="A3">
        <v>3.8251366120218582</v>
      </c>
      <c r="B3">
        <f>A2+A4</f>
        <v>10.928961748633879</v>
      </c>
      <c r="C3">
        <f>B3^2</f>
        <v>119.44220490310251</v>
      </c>
      <c r="E3" t="s">
        <v>1075</v>
      </c>
      <c r="F3">
        <f>SUM(B3:B6)</f>
        <v>21.857923497267763</v>
      </c>
    </row>
    <row r="4" spans="1:6" x14ac:dyDescent="0.2">
      <c r="A4">
        <v>3.8251366120218582</v>
      </c>
      <c r="B4">
        <f>A3</f>
        <v>3.8251366120218582</v>
      </c>
      <c r="C4">
        <f t="shared" ref="C4:C67" si="0">B4^2</f>
        <v>14.631670100630059</v>
      </c>
      <c r="E4" t="s">
        <v>1076</v>
      </c>
      <c r="F4">
        <v>100</v>
      </c>
    </row>
    <row r="5" spans="1:6" x14ac:dyDescent="0.2">
      <c r="A5">
        <v>3.8251366120218582</v>
      </c>
      <c r="B5">
        <f t="shared" ref="B5:B68" si="1">A5</f>
        <v>3.8251366120218582</v>
      </c>
      <c r="C5">
        <f t="shared" si="0"/>
        <v>14.631670100630059</v>
      </c>
    </row>
    <row r="6" spans="1:6" x14ac:dyDescent="0.2">
      <c r="A6">
        <v>3.278688524590164</v>
      </c>
      <c r="B6">
        <f t="shared" si="1"/>
        <v>3.278688524590164</v>
      </c>
      <c r="C6">
        <f t="shared" si="0"/>
        <v>10.749798441279227</v>
      </c>
    </row>
    <row r="7" spans="1:6" x14ac:dyDescent="0.2">
      <c r="A7">
        <v>2.7322404371584699</v>
      </c>
      <c r="B7">
        <f t="shared" si="1"/>
        <v>2.7322404371584699</v>
      </c>
      <c r="C7">
        <f t="shared" si="0"/>
        <v>7.4651378064439067</v>
      </c>
    </row>
    <row r="8" spans="1:6" x14ac:dyDescent="0.2">
      <c r="A8">
        <v>2.7322404371584699</v>
      </c>
      <c r="B8">
        <f t="shared" si="1"/>
        <v>2.7322404371584699</v>
      </c>
      <c r="C8">
        <f t="shared" si="0"/>
        <v>7.4651378064439067</v>
      </c>
    </row>
    <row r="9" spans="1:6" x14ac:dyDescent="0.2">
      <c r="A9">
        <v>2.7322404371584699</v>
      </c>
      <c r="B9">
        <f t="shared" si="1"/>
        <v>2.7322404371584699</v>
      </c>
      <c r="C9">
        <f t="shared" si="0"/>
        <v>7.4651378064439067</v>
      </c>
    </row>
    <row r="10" spans="1:6" x14ac:dyDescent="0.2">
      <c r="A10">
        <v>2.1857923497267762</v>
      </c>
      <c r="B10">
        <f t="shared" si="1"/>
        <v>2.1857923497267762</v>
      </c>
      <c r="C10">
        <f t="shared" si="0"/>
        <v>4.7776881961241013</v>
      </c>
    </row>
    <row r="11" spans="1:6" x14ac:dyDescent="0.2">
      <c r="A11">
        <v>1.639344262295082</v>
      </c>
      <c r="B11">
        <f t="shared" si="1"/>
        <v>1.639344262295082</v>
      </c>
      <c r="C11">
        <f t="shared" si="0"/>
        <v>2.6874496103198067</v>
      </c>
    </row>
    <row r="12" spans="1:6" x14ac:dyDescent="0.2">
      <c r="A12">
        <v>1.639344262295082</v>
      </c>
      <c r="B12">
        <f t="shared" si="1"/>
        <v>1.639344262295082</v>
      </c>
      <c r="C12">
        <f t="shared" si="0"/>
        <v>2.6874496103198067</v>
      </c>
    </row>
    <row r="13" spans="1:6" x14ac:dyDescent="0.2">
      <c r="A13">
        <v>1.639344262295082</v>
      </c>
      <c r="B13">
        <f t="shared" si="1"/>
        <v>1.639344262295082</v>
      </c>
      <c r="C13">
        <f t="shared" si="0"/>
        <v>2.6874496103198067</v>
      </c>
    </row>
    <row r="14" spans="1:6" x14ac:dyDescent="0.2">
      <c r="A14">
        <v>1.639344262295082</v>
      </c>
      <c r="B14">
        <f t="shared" si="1"/>
        <v>1.639344262295082</v>
      </c>
      <c r="C14">
        <f t="shared" si="0"/>
        <v>2.6874496103198067</v>
      </c>
    </row>
    <row r="15" spans="1:6" x14ac:dyDescent="0.2">
      <c r="A15">
        <v>1.639344262295082</v>
      </c>
      <c r="B15">
        <f t="shared" si="1"/>
        <v>1.639344262295082</v>
      </c>
      <c r="C15">
        <f t="shared" si="0"/>
        <v>2.6874496103198067</v>
      </c>
    </row>
    <row r="16" spans="1:6" x14ac:dyDescent="0.2">
      <c r="A16">
        <v>1.639344262295082</v>
      </c>
      <c r="B16">
        <f t="shared" si="1"/>
        <v>1.639344262295082</v>
      </c>
      <c r="C16">
        <f t="shared" si="0"/>
        <v>2.6874496103198067</v>
      </c>
    </row>
    <row r="17" spans="1:3" x14ac:dyDescent="0.2">
      <c r="A17">
        <v>1.639344262295082</v>
      </c>
      <c r="B17">
        <f t="shared" si="1"/>
        <v>1.639344262295082</v>
      </c>
      <c r="C17">
        <f t="shared" si="0"/>
        <v>2.6874496103198067</v>
      </c>
    </row>
    <row r="18" spans="1:3" x14ac:dyDescent="0.2">
      <c r="A18">
        <v>1.639344262295082</v>
      </c>
      <c r="B18">
        <f t="shared" si="1"/>
        <v>1.639344262295082</v>
      </c>
      <c r="C18">
        <f t="shared" si="0"/>
        <v>2.6874496103198067</v>
      </c>
    </row>
    <row r="19" spans="1:3" x14ac:dyDescent="0.2">
      <c r="A19">
        <v>1.639344262295082</v>
      </c>
      <c r="B19">
        <f t="shared" si="1"/>
        <v>1.639344262295082</v>
      </c>
      <c r="C19">
        <f t="shared" si="0"/>
        <v>2.6874496103198067</v>
      </c>
    </row>
    <row r="20" spans="1:3" x14ac:dyDescent="0.2">
      <c r="A20">
        <v>1.639344262295082</v>
      </c>
      <c r="B20">
        <f t="shared" si="1"/>
        <v>1.639344262295082</v>
      </c>
      <c r="C20">
        <f t="shared" si="0"/>
        <v>2.6874496103198067</v>
      </c>
    </row>
    <row r="21" spans="1:3" x14ac:dyDescent="0.2">
      <c r="A21">
        <v>1.639344262295082</v>
      </c>
      <c r="B21">
        <f t="shared" si="1"/>
        <v>1.639344262295082</v>
      </c>
      <c r="C21">
        <f t="shared" si="0"/>
        <v>2.6874496103198067</v>
      </c>
    </row>
    <row r="22" spans="1:3" x14ac:dyDescent="0.2">
      <c r="A22">
        <v>1.0928961748633881</v>
      </c>
      <c r="B22">
        <f t="shared" si="1"/>
        <v>1.0928961748633881</v>
      </c>
      <c r="C22">
        <f t="shared" si="0"/>
        <v>1.1944220490310253</v>
      </c>
    </row>
    <row r="23" spans="1:3" x14ac:dyDescent="0.2">
      <c r="A23">
        <v>1.0928961748633881</v>
      </c>
      <c r="B23">
        <f t="shared" si="1"/>
        <v>1.0928961748633881</v>
      </c>
      <c r="C23">
        <f t="shared" si="0"/>
        <v>1.1944220490310253</v>
      </c>
    </row>
    <row r="24" spans="1:3" x14ac:dyDescent="0.2">
      <c r="A24">
        <v>1.0928961748633881</v>
      </c>
      <c r="B24">
        <f t="shared" si="1"/>
        <v>1.0928961748633881</v>
      </c>
      <c r="C24">
        <f t="shared" si="0"/>
        <v>1.1944220490310253</v>
      </c>
    </row>
    <row r="25" spans="1:3" x14ac:dyDescent="0.2">
      <c r="A25">
        <v>1.0928961748633881</v>
      </c>
      <c r="B25">
        <f t="shared" si="1"/>
        <v>1.0928961748633881</v>
      </c>
      <c r="C25">
        <f t="shared" si="0"/>
        <v>1.1944220490310253</v>
      </c>
    </row>
    <row r="26" spans="1:3" x14ac:dyDescent="0.2">
      <c r="A26">
        <v>1.0928961748633881</v>
      </c>
      <c r="B26">
        <f t="shared" si="1"/>
        <v>1.0928961748633881</v>
      </c>
      <c r="C26">
        <f t="shared" si="0"/>
        <v>1.1944220490310253</v>
      </c>
    </row>
    <row r="27" spans="1:3" x14ac:dyDescent="0.2">
      <c r="A27">
        <v>1.0928961748633881</v>
      </c>
      <c r="B27">
        <f t="shared" si="1"/>
        <v>1.0928961748633881</v>
      </c>
      <c r="C27">
        <f t="shared" si="0"/>
        <v>1.1944220490310253</v>
      </c>
    </row>
    <row r="28" spans="1:3" x14ac:dyDescent="0.2">
      <c r="A28">
        <v>1.0928961748633881</v>
      </c>
      <c r="B28">
        <f t="shared" si="1"/>
        <v>1.0928961748633881</v>
      </c>
      <c r="C28">
        <f t="shared" si="0"/>
        <v>1.1944220490310253</v>
      </c>
    </row>
    <row r="29" spans="1:3" x14ac:dyDescent="0.2">
      <c r="A29">
        <v>1.0928961748633881</v>
      </c>
      <c r="B29">
        <f t="shared" si="1"/>
        <v>1.0928961748633881</v>
      </c>
      <c r="C29">
        <f t="shared" si="0"/>
        <v>1.1944220490310253</v>
      </c>
    </row>
    <row r="30" spans="1:3" x14ac:dyDescent="0.2">
      <c r="A30">
        <v>1.0928961748633881</v>
      </c>
      <c r="B30">
        <f t="shared" si="1"/>
        <v>1.0928961748633881</v>
      </c>
      <c r="C30">
        <f t="shared" si="0"/>
        <v>1.1944220490310253</v>
      </c>
    </row>
    <row r="31" spans="1:3" x14ac:dyDescent="0.2">
      <c r="A31">
        <v>1.0928961748633881</v>
      </c>
      <c r="B31">
        <f t="shared" si="1"/>
        <v>1.0928961748633881</v>
      </c>
      <c r="C31">
        <f t="shared" si="0"/>
        <v>1.1944220490310253</v>
      </c>
    </row>
    <row r="32" spans="1:3" x14ac:dyDescent="0.2">
      <c r="A32">
        <v>1.0928961748633881</v>
      </c>
      <c r="B32">
        <f t="shared" si="1"/>
        <v>1.0928961748633881</v>
      </c>
      <c r="C32">
        <f t="shared" si="0"/>
        <v>1.1944220490310253</v>
      </c>
    </row>
    <row r="33" spans="1:3" x14ac:dyDescent="0.2">
      <c r="A33">
        <v>1.0928961748633881</v>
      </c>
      <c r="B33">
        <f t="shared" si="1"/>
        <v>1.0928961748633881</v>
      </c>
      <c r="C33">
        <f t="shared" si="0"/>
        <v>1.1944220490310253</v>
      </c>
    </row>
    <row r="34" spans="1:3" x14ac:dyDescent="0.2">
      <c r="A34">
        <v>1.0928961748633881</v>
      </c>
      <c r="B34">
        <f t="shared" si="1"/>
        <v>1.0928961748633881</v>
      </c>
      <c r="C34">
        <f t="shared" si="0"/>
        <v>1.1944220490310253</v>
      </c>
    </row>
    <row r="35" spans="1:3" x14ac:dyDescent="0.2">
      <c r="A35">
        <v>1.0928961748633881</v>
      </c>
      <c r="B35">
        <f t="shared" si="1"/>
        <v>1.0928961748633881</v>
      </c>
      <c r="C35">
        <f t="shared" si="0"/>
        <v>1.1944220490310253</v>
      </c>
    </row>
    <row r="36" spans="1:3" x14ac:dyDescent="0.2">
      <c r="A36">
        <v>0.54644808743169404</v>
      </c>
      <c r="B36">
        <f t="shared" si="1"/>
        <v>0.54644808743169404</v>
      </c>
      <c r="C36">
        <f t="shared" si="0"/>
        <v>0.29860551225775633</v>
      </c>
    </row>
    <row r="37" spans="1:3" x14ac:dyDescent="0.2">
      <c r="A37">
        <v>0.54644808743169404</v>
      </c>
      <c r="B37">
        <f t="shared" si="1"/>
        <v>0.54644808743169404</v>
      </c>
      <c r="C37">
        <f t="shared" si="0"/>
        <v>0.29860551225775633</v>
      </c>
    </row>
    <row r="38" spans="1:3" x14ac:dyDescent="0.2">
      <c r="A38">
        <v>0.54644808743169404</v>
      </c>
      <c r="B38">
        <f t="shared" si="1"/>
        <v>0.54644808743169404</v>
      </c>
      <c r="C38">
        <f t="shared" si="0"/>
        <v>0.29860551225775633</v>
      </c>
    </row>
    <row r="39" spans="1:3" x14ac:dyDescent="0.2">
      <c r="A39">
        <v>0.54644808743169404</v>
      </c>
      <c r="B39">
        <f t="shared" si="1"/>
        <v>0.54644808743169404</v>
      </c>
      <c r="C39">
        <f t="shared" si="0"/>
        <v>0.29860551225775633</v>
      </c>
    </row>
    <row r="40" spans="1:3" x14ac:dyDescent="0.2">
      <c r="A40">
        <v>0.54644808743169404</v>
      </c>
      <c r="B40">
        <f t="shared" si="1"/>
        <v>0.54644808743169404</v>
      </c>
      <c r="C40">
        <f t="shared" si="0"/>
        <v>0.29860551225775633</v>
      </c>
    </row>
    <row r="41" spans="1:3" x14ac:dyDescent="0.2">
      <c r="A41">
        <v>0.54644808743169404</v>
      </c>
      <c r="B41">
        <f t="shared" si="1"/>
        <v>0.54644808743169404</v>
      </c>
      <c r="C41">
        <f t="shared" si="0"/>
        <v>0.29860551225775633</v>
      </c>
    </row>
    <row r="42" spans="1:3" x14ac:dyDescent="0.2">
      <c r="A42">
        <v>0.54644808743169404</v>
      </c>
      <c r="B42">
        <f t="shared" si="1"/>
        <v>0.54644808743169404</v>
      </c>
      <c r="C42">
        <f t="shared" si="0"/>
        <v>0.29860551225775633</v>
      </c>
    </row>
    <row r="43" spans="1:3" x14ac:dyDescent="0.2">
      <c r="A43">
        <v>0.54644808743169404</v>
      </c>
      <c r="B43">
        <f t="shared" si="1"/>
        <v>0.54644808743169404</v>
      </c>
      <c r="C43">
        <f t="shared" si="0"/>
        <v>0.29860551225775633</v>
      </c>
    </row>
    <row r="44" spans="1:3" x14ac:dyDescent="0.2">
      <c r="A44">
        <v>0.54644808743169404</v>
      </c>
      <c r="B44">
        <f t="shared" si="1"/>
        <v>0.54644808743169404</v>
      </c>
      <c r="C44">
        <f t="shared" si="0"/>
        <v>0.29860551225775633</v>
      </c>
    </row>
    <row r="45" spans="1:3" x14ac:dyDescent="0.2">
      <c r="A45">
        <v>0.54644808743169404</v>
      </c>
      <c r="B45">
        <f t="shared" si="1"/>
        <v>0.54644808743169404</v>
      </c>
      <c r="C45">
        <f t="shared" si="0"/>
        <v>0.29860551225775633</v>
      </c>
    </row>
    <row r="46" spans="1:3" x14ac:dyDescent="0.2">
      <c r="A46">
        <v>0.54644808743169404</v>
      </c>
      <c r="B46">
        <f t="shared" si="1"/>
        <v>0.54644808743169404</v>
      </c>
      <c r="C46">
        <f t="shared" si="0"/>
        <v>0.29860551225775633</v>
      </c>
    </row>
    <row r="47" spans="1:3" x14ac:dyDescent="0.2">
      <c r="A47">
        <v>0.54644808743169404</v>
      </c>
      <c r="B47">
        <f t="shared" si="1"/>
        <v>0.54644808743169404</v>
      </c>
      <c r="C47">
        <f t="shared" si="0"/>
        <v>0.29860551225775633</v>
      </c>
    </row>
    <row r="48" spans="1:3" x14ac:dyDescent="0.2">
      <c r="A48">
        <v>0.54644808743169404</v>
      </c>
      <c r="B48">
        <f t="shared" si="1"/>
        <v>0.54644808743169404</v>
      </c>
      <c r="C48">
        <f t="shared" si="0"/>
        <v>0.29860551225775633</v>
      </c>
    </row>
    <row r="49" spans="1:3" x14ac:dyDescent="0.2">
      <c r="A49">
        <v>0.54644808743169404</v>
      </c>
      <c r="B49">
        <f t="shared" si="1"/>
        <v>0.54644808743169404</v>
      </c>
      <c r="C49">
        <f t="shared" si="0"/>
        <v>0.29860551225775633</v>
      </c>
    </row>
    <row r="50" spans="1:3" x14ac:dyDescent="0.2">
      <c r="A50">
        <v>0.54644808743169404</v>
      </c>
      <c r="B50">
        <f t="shared" si="1"/>
        <v>0.54644808743169404</v>
      </c>
      <c r="C50">
        <f t="shared" si="0"/>
        <v>0.29860551225775633</v>
      </c>
    </row>
    <row r="51" spans="1:3" x14ac:dyDescent="0.2">
      <c r="A51">
        <v>0.54644808743169404</v>
      </c>
      <c r="B51">
        <f t="shared" si="1"/>
        <v>0.54644808743169404</v>
      </c>
      <c r="C51">
        <f t="shared" si="0"/>
        <v>0.29860551225775633</v>
      </c>
    </row>
    <row r="52" spans="1:3" x14ac:dyDescent="0.2">
      <c r="A52">
        <v>0.54644808743169404</v>
      </c>
      <c r="B52">
        <f t="shared" si="1"/>
        <v>0.54644808743169404</v>
      </c>
      <c r="C52">
        <f t="shared" si="0"/>
        <v>0.29860551225775633</v>
      </c>
    </row>
    <row r="53" spans="1:3" x14ac:dyDescent="0.2">
      <c r="A53">
        <v>0.54644808743169404</v>
      </c>
      <c r="B53">
        <f t="shared" si="1"/>
        <v>0.54644808743169404</v>
      </c>
      <c r="C53">
        <f t="shared" si="0"/>
        <v>0.29860551225775633</v>
      </c>
    </row>
    <row r="54" spans="1:3" x14ac:dyDescent="0.2">
      <c r="A54">
        <v>0.54644808743169404</v>
      </c>
      <c r="B54">
        <f t="shared" si="1"/>
        <v>0.54644808743169404</v>
      </c>
      <c r="C54">
        <f t="shared" si="0"/>
        <v>0.29860551225775633</v>
      </c>
    </row>
    <row r="55" spans="1:3" x14ac:dyDescent="0.2">
      <c r="A55">
        <v>0.54644808743169404</v>
      </c>
      <c r="B55">
        <f t="shared" si="1"/>
        <v>0.54644808743169404</v>
      </c>
      <c r="C55">
        <f t="shared" si="0"/>
        <v>0.29860551225775633</v>
      </c>
    </row>
    <row r="56" spans="1:3" x14ac:dyDescent="0.2">
      <c r="A56">
        <v>0.54644808743169404</v>
      </c>
      <c r="B56">
        <f t="shared" si="1"/>
        <v>0.54644808743169404</v>
      </c>
      <c r="C56">
        <f t="shared" si="0"/>
        <v>0.29860551225775633</v>
      </c>
    </row>
    <row r="57" spans="1:3" x14ac:dyDescent="0.2">
      <c r="A57">
        <v>0.54644808743169404</v>
      </c>
      <c r="B57">
        <f t="shared" si="1"/>
        <v>0.54644808743169404</v>
      </c>
      <c r="C57">
        <f t="shared" si="0"/>
        <v>0.29860551225775633</v>
      </c>
    </row>
    <row r="58" spans="1:3" x14ac:dyDescent="0.2">
      <c r="A58">
        <v>0.54644808743169404</v>
      </c>
      <c r="B58">
        <f t="shared" si="1"/>
        <v>0.54644808743169404</v>
      </c>
      <c r="C58">
        <f t="shared" si="0"/>
        <v>0.29860551225775633</v>
      </c>
    </row>
    <row r="59" spans="1:3" x14ac:dyDescent="0.2">
      <c r="A59">
        <v>0.54644808743169404</v>
      </c>
      <c r="B59">
        <f t="shared" si="1"/>
        <v>0.54644808743169404</v>
      </c>
      <c r="C59">
        <f t="shared" si="0"/>
        <v>0.29860551225775633</v>
      </c>
    </row>
    <row r="60" spans="1:3" x14ac:dyDescent="0.2">
      <c r="A60">
        <v>0.54644808743169404</v>
      </c>
      <c r="B60">
        <f t="shared" si="1"/>
        <v>0.54644808743169404</v>
      </c>
      <c r="C60">
        <f t="shared" si="0"/>
        <v>0.29860551225775633</v>
      </c>
    </row>
    <row r="61" spans="1:3" x14ac:dyDescent="0.2">
      <c r="A61">
        <v>0.54644808743169404</v>
      </c>
      <c r="B61">
        <f t="shared" si="1"/>
        <v>0.54644808743169404</v>
      </c>
      <c r="C61">
        <f t="shared" si="0"/>
        <v>0.29860551225775633</v>
      </c>
    </row>
    <row r="62" spans="1:3" x14ac:dyDescent="0.2">
      <c r="A62">
        <v>0.54644808743169404</v>
      </c>
      <c r="B62">
        <f t="shared" si="1"/>
        <v>0.54644808743169404</v>
      </c>
      <c r="C62">
        <f t="shared" si="0"/>
        <v>0.29860551225775633</v>
      </c>
    </row>
    <row r="63" spans="1:3" x14ac:dyDescent="0.2">
      <c r="A63">
        <v>0.54644808743169404</v>
      </c>
      <c r="B63">
        <f t="shared" si="1"/>
        <v>0.54644808743169404</v>
      </c>
      <c r="C63">
        <f t="shared" si="0"/>
        <v>0.29860551225775633</v>
      </c>
    </row>
    <row r="64" spans="1:3" x14ac:dyDescent="0.2">
      <c r="A64">
        <v>0.54644808743169404</v>
      </c>
      <c r="B64">
        <f t="shared" si="1"/>
        <v>0.54644808743169404</v>
      </c>
      <c r="C64">
        <f t="shared" si="0"/>
        <v>0.29860551225775633</v>
      </c>
    </row>
    <row r="65" spans="1:3" x14ac:dyDescent="0.2">
      <c r="A65">
        <v>0.54644808743169404</v>
      </c>
      <c r="B65">
        <f t="shared" si="1"/>
        <v>0.54644808743169404</v>
      </c>
      <c r="C65">
        <f t="shared" si="0"/>
        <v>0.29860551225775633</v>
      </c>
    </row>
    <row r="66" spans="1:3" x14ac:dyDescent="0.2">
      <c r="A66">
        <v>0.54644808743169404</v>
      </c>
      <c r="B66">
        <f t="shared" si="1"/>
        <v>0.54644808743169404</v>
      </c>
      <c r="C66">
        <f t="shared" si="0"/>
        <v>0.29860551225775633</v>
      </c>
    </row>
    <row r="67" spans="1:3" x14ac:dyDescent="0.2">
      <c r="A67">
        <v>0.54644808743169404</v>
      </c>
      <c r="B67">
        <f t="shared" si="1"/>
        <v>0.54644808743169404</v>
      </c>
      <c r="C67">
        <f t="shared" si="0"/>
        <v>0.29860551225775633</v>
      </c>
    </row>
    <row r="68" spans="1:3" x14ac:dyDescent="0.2">
      <c r="A68">
        <v>0.54644808743169404</v>
      </c>
      <c r="B68">
        <f t="shared" si="1"/>
        <v>0.54644808743169404</v>
      </c>
      <c r="C68">
        <f t="shared" ref="C68:C98" si="2">B68^2</f>
        <v>0.29860551225775633</v>
      </c>
    </row>
    <row r="69" spans="1:3" x14ac:dyDescent="0.2">
      <c r="A69">
        <v>0.54644808743169404</v>
      </c>
      <c r="B69">
        <f t="shared" ref="B69:B98" si="3">A69</f>
        <v>0.54644808743169404</v>
      </c>
      <c r="C69">
        <f t="shared" si="2"/>
        <v>0.29860551225775633</v>
      </c>
    </row>
    <row r="70" spans="1:3" x14ac:dyDescent="0.2">
      <c r="A70">
        <v>0.54644808743169404</v>
      </c>
      <c r="B70">
        <f t="shared" si="3"/>
        <v>0.54644808743169404</v>
      </c>
      <c r="C70">
        <f t="shared" si="2"/>
        <v>0.29860551225775633</v>
      </c>
    </row>
    <row r="71" spans="1:3" x14ac:dyDescent="0.2">
      <c r="A71">
        <v>0.54644808743169404</v>
      </c>
      <c r="B71">
        <f t="shared" si="3"/>
        <v>0.54644808743169404</v>
      </c>
      <c r="C71">
        <f t="shared" si="2"/>
        <v>0.29860551225775633</v>
      </c>
    </row>
    <row r="72" spans="1:3" x14ac:dyDescent="0.2">
      <c r="A72">
        <v>0.54644808743169404</v>
      </c>
      <c r="B72">
        <f t="shared" si="3"/>
        <v>0.54644808743169404</v>
      </c>
      <c r="C72">
        <f t="shared" si="2"/>
        <v>0.29860551225775633</v>
      </c>
    </row>
    <row r="73" spans="1:3" x14ac:dyDescent="0.2">
      <c r="A73">
        <v>0.54644808743169404</v>
      </c>
      <c r="B73">
        <f t="shared" si="3"/>
        <v>0.54644808743169404</v>
      </c>
      <c r="C73">
        <f t="shared" si="2"/>
        <v>0.29860551225775633</v>
      </c>
    </row>
    <row r="74" spans="1:3" x14ac:dyDescent="0.2">
      <c r="A74">
        <v>0.54644808743169404</v>
      </c>
      <c r="B74">
        <f t="shared" si="3"/>
        <v>0.54644808743169404</v>
      </c>
      <c r="C74">
        <f t="shared" si="2"/>
        <v>0.29860551225775633</v>
      </c>
    </row>
    <row r="75" spans="1:3" x14ac:dyDescent="0.2">
      <c r="A75">
        <v>0.54644808743169404</v>
      </c>
      <c r="B75">
        <f t="shared" si="3"/>
        <v>0.54644808743169404</v>
      </c>
      <c r="C75">
        <f t="shared" si="2"/>
        <v>0.29860551225775633</v>
      </c>
    </row>
    <row r="76" spans="1:3" x14ac:dyDescent="0.2">
      <c r="A76">
        <v>0.54644808743169404</v>
      </c>
      <c r="B76">
        <f t="shared" si="3"/>
        <v>0.54644808743169404</v>
      </c>
      <c r="C76">
        <f t="shared" si="2"/>
        <v>0.29860551225775633</v>
      </c>
    </row>
    <row r="77" spans="1:3" x14ac:dyDescent="0.2">
      <c r="A77">
        <v>0.54644808743169404</v>
      </c>
      <c r="B77">
        <f t="shared" si="3"/>
        <v>0.54644808743169404</v>
      </c>
      <c r="C77">
        <f t="shared" si="2"/>
        <v>0.29860551225775633</v>
      </c>
    </row>
    <row r="78" spans="1:3" x14ac:dyDescent="0.2">
      <c r="A78">
        <v>0.54644808743169404</v>
      </c>
      <c r="B78">
        <f t="shared" si="3"/>
        <v>0.54644808743169404</v>
      </c>
      <c r="C78">
        <f t="shared" si="2"/>
        <v>0.29860551225775633</v>
      </c>
    </row>
    <row r="79" spans="1:3" x14ac:dyDescent="0.2">
      <c r="A79">
        <v>0.54644808743169404</v>
      </c>
      <c r="B79">
        <f t="shared" si="3"/>
        <v>0.54644808743169404</v>
      </c>
      <c r="C79">
        <f t="shared" si="2"/>
        <v>0.29860551225775633</v>
      </c>
    </row>
    <row r="80" spans="1:3" x14ac:dyDescent="0.2">
      <c r="A80">
        <v>0.54644808743169404</v>
      </c>
      <c r="B80">
        <f t="shared" si="3"/>
        <v>0.54644808743169404</v>
      </c>
      <c r="C80">
        <f t="shared" si="2"/>
        <v>0.29860551225775633</v>
      </c>
    </row>
    <row r="81" spans="1:3" x14ac:dyDescent="0.2">
      <c r="A81">
        <v>0.54644808743169404</v>
      </c>
      <c r="B81">
        <f t="shared" si="3"/>
        <v>0.54644808743169404</v>
      </c>
      <c r="C81">
        <f t="shared" si="2"/>
        <v>0.29860551225775633</v>
      </c>
    </row>
    <row r="82" spans="1:3" x14ac:dyDescent="0.2">
      <c r="A82">
        <v>0.54644808743169404</v>
      </c>
      <c r="B82">
        <f t="shared" si="3"/>
        <v>0.54644808743169404</v>
      </c>
      <c r="C82">
        <f t="shared" si="2"/>
        <v>0.29860551225775633</v>
      </c>
    </row>
    <row r="83" spans="1:3" x14ac:dyDescent="0.2">
      <c r="A83">
        <v>0.54644808743169404</v>
      </c>
      <c r="B83">
        <f t="shared" si="3"/>
        <v>0.54644808743169404</v>
      </c>
      <c r="C83">
        <f t="shared" si="2"/>
        <v>0.29860551225775633</v>
      </c>
    </row>
    <row r="84" spans="1:3" x14ac:dyDescent="0.2">
      <c r="A84">
        <v>0.54644808743169404</v>
      </c>
      <c r="B84">
        <f t="shared" si="3"/>
        <v>0.54644808743169404</v>
      </c>
      <c r="C84">
        <f t="shared" si="2"/>
        <v>0.29860551225775633</v>
      </c>
    </row>
    <row r="85" spans="1:3" x14ac:dyDescent="0.2">
      <c r="A85">
        <v>0.54644808743169404</v>
      </c>
      <c r="B85">
        <f t="shared" si="3"/>
        <v>0.54644808743169404</v>
      </c>
      <c r="C85">
        <f t="shared" si="2"/>
        <v>0.29860551225775633</v>
      </c>
    </row>
    <row r="86" spans="1:3" x14ac:dyDescent="0.2">
      <c r="A86">
        <v>0.54644808743169404</v>
      </c>
      <c r="B86">
        <f t="shared" si="3"/>
        <v>0.54644808743169404</v>
      </c>
      <c r="C86">
        <f t="shared" si="2"/>
        <v>0.29860551225775633</v>
      </c>
    </row>
    <row r="87" spans="1:3" x14ac:dyDescent="0.2">
      <c r="A87">
        <v>0.54644808743169404</v>
      </c>
      <c r="B87">
        <f t="shared" si="3"/>
        <v>0.54644808743169404</v>
      </c>
      <c r="C87">
        <f t="shared" si="2"/>
        <v>0.29860551225775633</v>
      </c>
    </row>
    <row r="88" spans="1:3" x14ac:dyDescent="0.2">
      <c r="A88">
        <v>0.54644808743169404</v>
      </c>
      <c r="B88">
        <f t="shared" si="3"/>
        <v>0.54644808743169404</v>
      </c>
      <c r="C88">
        <f t="shared" si="2"/>
        <v>0.29860551225775633</v>
      </c>
    </row>
    <row r="89" spans="1:3" x14ac:dyDescent="0.2">
      <c r="A89">
        <v>0.54644808743169404</v>
      </c>
      <c r="B89">
        <f t="shared" si="3"/>
        <v>0.54644808743169404</v>
      </c>
      <c r="C89">
        <f t="shared" si="2"/>
        <v>0.29860551225775633</v>
      </c>
    </row>
    <row r="90" spans="1:3" x14ac:dyDescent="0.2">
      <c r="A90">
        <v>0.54644808743169404</v>
      </c>
      <c r="B90">
        <f t="shared" si="3"/>
        <v>0.54644808743169404</v>
      </c>
      <c r="C90">
        <f t="shared" si="2"/>
        <v>0.29860551225775633</v>
      </c>
    </row>
    <row r="91" spans="1:3" x14ac:dyDescent="0.2">
      <c r="A91">
        <v>0.54644808743169404</v>
      </c>
      <c r="B91">
        <f t="shared" si="3"/>
        <v>0.54644808743169404</v>
      </c>
      <c r="C91">
        <f t="shared" si="2"/>
        <v>0.29860551225775633</v>
      </c>
    </row>
    <row r="92" spans="1:3" x14ac:dyDescent="0.2">
      <c r="A92">
        <v>0.54644808743169404</v>
      </c>
      <c r="B92">
        <f t="shared" si="3"/>
        <v>0.54644808743169404</v>
      </c>
      <c r="C92">
        <f t="shared" si="2"/>
        <v>0.29860551225775633</v>
      </c>
    </row>
    <row r="93" spans="1:3" x14ac:dyDescent="0.2">
      <c r="A93">
        <v>0.54644808743169404</v>
      </c>
      <c r="B93">
        <f t="shared" si="3"/>
        <v>0.54644808743169404</v>
      </c>
      <c r="C93">
        <f t="shared" si="2"/>
        <v>0.29860551225775633</v>
      </c>
    </row>
    <row r="94" spans="1:3" x14ac:dyDescent="0.2">
      <c r="A94">
        <v>0.54644808743169404</v>
      </c>
      <c r="B94">
        <f t="shared" si="3"/>
        <v>0.54644808743169404</v>
      </c>
      <c r="C94">
        <f t="shared" si="2"/>
        <v>0.29860551225775633</v>
      </c>
    </row>
    <row r="95" spans="1:3" x14ac:dyDescent="0.2">
      <c r="A95">
        <v>0.54644808743169404</v>
      </c>
      <c r="B95">
        <f t="shared" si="3"/>
        <v>0.54644808743169404</v>
      </c>
      <c r="C95">
        <f t="shared" si="2"/>
        <v>0.29860551225775633</v>
      </c>
    </row>
    <row r="96" spans="1:3" x14ac:dyDescent="0.2">
      <c r="A96">
        <v>0.54644808743169404</v>
      </c>
      <c r="B96">
        <f t="shared" si="3"/>
        <v>0.54644808743169404</v>
      </c>
      <c r="C96">
        <f t="shared" si="2"/>
        <v>0.29860551225775633</v>
      </c>
    </row>
    <row r="97" spans="1:3" x14ac:dyDescent="0.2">
      <c r="A97">
        <v>0.54644808743169404</v>
      </c>
      <c r="B97">
        <f t="shared" si="3"/>
        <v>0.54644808743169404</v>
      </c>
      <c r="C97">
        <f t="shared" si="2"/>
        <v>0.29860551225775633</v>
      </c>
    </row>
    <row r="98" spans="1:3" x14ac:dyDescent="0.2">
      <c r="A98">
        <v>0.54644808743169404</v>
      </c>
      <c r="B98">
        <f t="shared" si="3"/>
        <v>0.54644808743169404</v>
      </c>
      <c r="C98">
        <f t="shared" si="2"/>
        <v>0.29860551225775633</v>
      </c>
    </row>
    <row r="99" spans="1:3" x14ac:dyDescent="0.2">
      <c r="A99" s="12" t="s">
        <v>1082</v>
      </c>
      <c r="B99" s="12">
        <f>SUM(B3:B98)</f>
        <v>100.00000000000037</v>
      </c>
      <c r="C99" s="12">
        <f>SUM(C3:C98)</f>
        <v>251.72444683328848</v>
      </c>
    </row>
  </sheetData>
  <sortState xmlns:xlrd2="http://schemas.microsoft.com/office/spreadsheetml/2017/richdata2" ref="A2:B98">
    <sortCondition descending="1" ref="A2:A98"/>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BE54-AB6D-4542-BA31-A58E1430C71B}">
  <dimension ref="A1:C5"/>
  <sheetViews>
    <sheetView workbookViewId="0">
      <selection activeCell="E11" sqref="E11"/>
    </sheetView>
  </sheetViews>
  <sheetFormatPr baseColWidth="10" defaultRowHeight="15" x14ac:dyDescent="0.2"/>
  <cols>
    <col min="1" max="1" width="34" bestFit="1" customWidth="1"/>
    <col min="2" max="3" width="12.1640625" bestFit="1" customWidth="1"/>
  </cols>
  <sheetData>
    <row r="1" spans="1:3" x14ac:dyDescent="0.2">
      <c r="A1" s="11"/>
      <c r="B1" s="12" t="s">
        <v>1074</v>
      </c>
      <c r="C1" s="12" t="s">
        <v>1073</v>
      </c>
    </row>
    <row r="2" spans="1:3" x14ac:dyDescent="0.2">
      <c r="A2" s="12" t="s">
        <v>1083</v>
      </c>
      <c r="B2" s="11">
        <v>70.203583274569723</v>
      </c>
      <c r="C2" s="11">
        <v>1785.5421264513016</v>
      </c>
    </row>
    <row r="3" spans="1:3" x14ac:dyDescent="0.2">
      <c r="A3" s="12" t="s">
        <v>1084</v>
      </c>
      <c r="B3" s="11">
        <v>75.277494841860573</v>
      </c>
      <c r="C3" s="11">
        <v>2382.9906998799111</v>
      </c>
    </row>
    <row r="4" spans="1:3" x14ac:dyDescent="0.2">
      <c r="A4" s="12" t="s">
        <v>1085</v>
      </c>
      <c r="B4" s="11">
        <v>18.579234972677597</v>
      </c>
      <c r="C4" s="11">
        <v>197.37824360237676</v>
      </c>
    </row>
    <row r="5" spans="1:3" x14ac:dyDescent="0.2">
      <c r="A5" s="12" t="s">
        <v>1086</v>
      </c>
      <c r="B5" s="11">
        <v>21.857923497267763</v>
      </c>
      <c r="C5" s="11">
        <v>251.72444683328848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b545cea-42b6-46f7-92a9-ae48149de73f"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6F21D316FFF0F4C89D1CA94C59614C1" ma:contentTypeVersion="15" ma:contentTypeDescription="Create a new document." ma:contentTypeScope="" ma:versionID="956b52279ad74623b66b730a8c6ad8fe">
  <xsd:schema xmlns:xsd="http://www.w3.org/2001/XMLSchema" xmlns:xs="http://www.w3.org/2001/XMLSchema" xmlns:p="http://schemas.microsoft.com/office/2006/metadata/properties" xmlns:ns3="9b545cea-42b6-46f7-92a9-ae48149de73f" xmlns:ns4="eda7243f-455e-4b1d-8bb1-920961bd7fb5" targetNamespace="http://schemas.microsoft.com/office/2006/metadata/properties" ma:root="true" ma:fieldsID="1de1ee939c43411d64d8dd2b01b10bb5" ns3:_="" ns4:_="">
    <xsd:import namespace="9b545cea-42b6-46f7-92a9-ae48149de73f"/>
    <xsd:import namespace="eda7243f-455e-4b1d-8bb1-920961bd7fb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545cea-42b6-46f7-92a9-ae48149de7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a7243f-455e-4b1d-8bb1-920961bd7fb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AEAC73-1059-49EC-8D36-5A46770E1CE0}">
  <ds:schemaRefs>
    <ds:schemaRef ds:uri="http://schemas.microsoft.com/DataMashup"/>
  </ds:schemaRefs>
</ds:datastoreItem>
</file>

<file path=customXml/itemProps2.xml><?xml version="1.0" encoding="utf-8"?>
<ds:datastoreItem xmlns:ds="http://schemas.openxmlformats.org/officeDocument/2006/customXml" ds:itemID="{279C8A7A-A1A3-4E22-AA0C-FE0561148CCC}">
  <ds:schemaRefs>
    <ds:schemaRef ds:uri="http://schemas.microsoft.com/sharepoint/v3/contenttype/forms"/>
  </ds:schemaRefs>
</ds:datastoreItem>
</file>

<file path=customXml/itemProps3.xml><?xml version="1.0" encoding="utf-8"?>
<ds:datastoreItem xmlns:ds="http://schemas.openxmlformats.org/officeDocument/2006/customXml" ds:itemID="{C1F259C1-4875-4B38-AD85-CBEF96AD95CA}">
  <ds:schemaRefs>
    <ds:schemaRef ds:uri="http://schemas.openxmlformats.org/package/2006/metadata/core-properties"/>
    <ds:schemaRef ds:uri="9b545cea-42b6-46f7-92a9-ae48149de73f"/>
    <ds:schemaRef ds:uri="http://purl.org/dc/elements/1.1/"/>
    <ds:schemaRef ds:uri="eda7243f-455e-4b1d-8bb1-920961bd7fb5"/>
    <ds:schemaRef ds:uri="http://purl.org/dc/dcmitype/"/>
    <ds:schemaRef ds:uri="http://schemas.microsoft.com/office/2006/documentManagement/types"/>
    <ds:schemaRef ds:uri="http://www.w3.org/XML/1998/namespace"/>
    <ds:schemaRef ds:uri="http://purl.org/dc/terms/"/>
    <ds:schemaRef ds:uri="http://schemas.microsoft.com/office/infopath/2007/PartnerControls"/>
    <ds:schemaRef ds:uri="http://schemas.microsoft.com/office/2006/metadata/properties"/>
  </ds:schemaRefs>
</ds:datastoreItem>
</file>

<file path=customXml/itemProps4.xml><?xml version="1.0" encoding="utf-8"?>
<ds:datastoreItem xmlns:ds="http://schemas.openxmlformats.org/officeDocument/2006/customXml" ds:itemID="{D9978178-4D89-408A-9454-DD4AAE863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545cea-42b6-46f7-92a9-ae48149de73f"/>
    <ds:schemaRef ds:uri="eda7243f-455e-4b1d-8bb1-920961bd7f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VBA raw</vt:lpstr>
      <vt:lpstr>Invoked function</vt:lpstr>
      <vt:lpstr>Automation raw</vt:lpstr>
      <vt:lpstr>Automation cleaned</vt:lpstr>
      <vt:lpstr>Market share ratings</vt:lpstr>
      <vt:lpstr>Scatter plot</vt:lpstr>
      <vt:lpstr>Ratings merger</vt:lpstr>
      <vt:lpstr>Market share products</vt:lpstr>
      <vt:lpstr>Products merger</vt:lpstr>
      <vt:lpstr>Ratios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Elliot Cleverley (ECO - Student)</dc:creator>
  <cp:keywords/>
  <dc:description/>
  <cp:lastModifiedBy>Elliot Cleverley (ECO - Student)</cp:lastModifiedBy>
  <cp:revision/>
  <dcterms:created xsi:type="dcterms:W3CDTF">2026-03-07T10:24:06Z</dcterms:created>
  <dcterms:modified xsi:type="dcterms:W3CDTF">2026-03-20T10:44:56Z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0x01010006F21D316FFF0F4C89D1CA94C59614C1</vt:lpwstr>
  </property>
</Properties>
</file>